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worksheets/sheet10.xml" ContentType="application/vnd.openxmlformats-officedocument.spreadsheetml.worksheet+xml"/>
  <Override PartName="/xl/tables/table9.xml" ContentType="application/vnd.openxmlformats-officedocument.spreadsheetml.table+xml"/>
  <Override PartName="/xl/worksheets/sheet11.xml" ContentType="application/vnd.openxmlformats-officedocument.spreadsheetml.worksheet+xml"/>
  <Override PartName="/xl/tables/table10.xml" ContentType="application/vnd.openxmlformats-officedocument.spreadsheetml.table+xml"/>
  <Override PartName="/xl/worksheets/sheet12.xml" ContentType="application/vnd.openxmlformats-officedocument.spreadsheetml.worksheet+xml"/>
  <Override PartName="/xl/tables/table11.xml" ContentType="application/vnd.openxmlformats-officedocument.spreadsheetml.table+xml"/>
  <Override PartName="/xl/worksheets/sheet13.xml" ContentType="application/vnd.openxmlformats-officedocument.spreadsheetml.worksheet+xml"/>
  <Override PartName="/xl/tables/table12.xml" ContentType="application/vnd.openxmlformats-officedocument.spreadsheetml.table+xml"/>
  <Override PartName="/xl/worksheets/sheet14.xml" ContentType="application/vnd.openxmlformats-officedocument.spreadsheetml.worksheet+xml"/>
  <Override PartName="/xl/tables/table13.xml" ContentType="application/vnd.openxmlformats-officedocument.spreadsheetml.table+xml"/>
  <Override PartName="/xl/worksheets/sheet15.xml" ContentType="application/vnd.openxmlformats-officedocument.spreadsheetml.worksheet+xml"/>
  <Override PartName="/xl/tables/table14.xml" ContentType="application/vnd.openxmlformats-officedocument.spreadsheetml.table+xml"/>
  <Override PartName="/xl/worksheets/sheet16.xml" ContentType="application/vnd.openxmlformats-officedocument.spreadsheetml.worksheet+xml"/>
  <Override PartName="/xl/tables/table15.xml" ContentType="application/vnd.openxmlformats-officedocument.spreadsheetml.table+xml"/>
  <Override PartName="/xl/worksheets/sheet17.xml" ContentType="application/vnd.openxmlformats-officedocument.spreadsheetml.worksheet+xml"/>
  <Override PartName="/xl/tables/table16.xml" ContentType="application/vnd.openxmlformats-officedocument.spreadsheetml.table+xml"/>
  <Override PartName="/xl/worksheets/sheet18.xml" ContentType="application/vnd.openxmlformats-officedocument.spreadsheetml.worksheet+xml"/>
  <Override PartName="/xl/tables/table17.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4660c6f436da4c34" /></Relationships>
</file>

<file path=xl/workbook.xml><?xml version="1.0" encoding="utf-8"?>
<x:workbook xmlns:x="http://schemas.openxmlformats.org/spreadsheetml/2006/main">
  <x:sheets>
    <x:sheet xmlns:r="http://schemas.openxmlformats.org/officeDocument/2006/relationships" name="Master Tasks" sheetId="1" r:id="R7fd359cb036f496a"/>
    <x:sheet xmlns:r="http://schemas.openxmlformats.org/officeDocument/2006/relationships" name="Module Flows" sheetId="2" r:id="R91e291fe82ca4090"/>
    <x:sheet xmlns:r="http://schemas.openxmlformats.org/officeDocument/2006/relationships" name="Production Settings" sheetId="3" r:id="Rdf41aa11da9f4a07"/>
    <x:sheet xmlns:r="http://schemas.openxmlformats.org/officeDocument/2006/relationships" name="Persona UAT" sheetId="4" r:id="R2454862f1a2f4d70"/>
    <x:sheet xmlns:r="http://schemas.openxmlformats.org/officeDocument/2006/relationships" name="Defects and Retests" sheetId="5" r:id="R55e256075f5e4b3c"/>
    <x:sheet xmlns:r="http://schemas.openxmlformats.org/officeDocument/2006/relationships" name="Documentation" sheetId="6" r:id="R198f15e9534b422b"/>
    <x:sheet xmlns:r="http://schemas.openxmlformats.org/officeDocument/2006/relationships" name="Release Gates" sheetId="7" r:id="R79ab3fb6ff4943cd"/>
    <x:sheet xmlns:r="http://schemas.openxmlformats.org/officeDocument/2006/relationships" name="Sources and Controls" sheetId="8" r:id="R6cf42bc08e574360"/>
    <x:sheet xmlns:r="http://schemas.openxmlformats.org/officeDocument/2006/relationships" name="Overview" sheetId="9" r:id="R13a030f5386442b3"/>
    <x:sheet xmlns:r="http://schemas.openxmlformats.org/officeDocument/2006/relationships" name="Reference Data Contract" sheetId="10" r:id="Rc7bdadcd52334db6"/>
    <x:sheet xmlns:r="http://schemas.openxmlformats.org/officeDocument/2006/relationships" name="Organization and Persona Matrix" sheetId="11" r:id="Rbbbf37fac7a745c4"/>
    <x:sheet xmlns:r="http://schemas.openxmlformats.org/officeDocument/2006/relationships" name="Navigation Map" sheetId="12" r:id="R2592c83b9839463e"/>
    <x:sheet xmlns:r="http://schemas.openxmlformats.org/officeDocument/2006/relationships" name="Environment &amp; Dependency Audit" sheetId="13" r:id="R87508d4d39c74bc5"/>
    <x:sheet xmlns:r="http://schemas.openxmlformats.org/officeDocument/2006/relationships" name="Hardcoded Settings Register" sheetId="14" r:id="Rd813fc7b8c134497"/>
    <x:sheet xmlns:r="http://schemas.openxmlformats.org/officeDocument/2006/relationships" name="Menu Workflow Matrix" sheetId="15" r:id="R1fef25a4f897493a"/>
    <x:sheet xmlns:r="http://schemas.openxmlformats.org/officeDocument/2006/relationships" name="Existing Automated Coverage" sheetId="16" r:id="R12c6ca89e8a4421a"/>
    <x:sheet xmlns:r="http://schemas.openxmlformats.org/officeDocument/2006/relationships" name="E2E and Manual Cases" sheetId="17" r:id="R8e85e2b92b1247b4"/>
    <x:sheet xmlns:r="http://schemas.openxmlformats.org/officeDocument/2006/relationships" name="Migration Evidence" sheetId="18" r:id="R920772a9ba9f4c57"/>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16">
    <x:font>
      <x:sz val="11"/>
      <x:name val="Carlito"/>
    </x:font>
    <x:font>
      <x:b/>
      <x:sz val="16"/>
      <x:color rgb="FF172554"/>
      <x:name val="Arial"/>
    </x:font>
    <x:font>
      <x:i/>
      <x:sz val="10"/>
      <x:color rgb="FF475569"/>
      <x:name val="Arial"/>
    </x:font>
    <x:font>
      <x:sz val="9"/>
      <x:color rgb="FF64748B"/>
      <x:name val="Arial"/>
    </x:font>
    <x:font>
      <x:b/>
      <x:sz val="10"/>
      <x:color rgb="FFFFFFFF"/>
      <x:name val="Arial"/>
    </x:font>
    <x:font>
      <x:sz val="9"/>
      <x:color rgb="FF111827"/>
      <x:name val="Arial"/>
    </x:font>
    <x:font>
      <x:b/>
      <x:sz val="11"/>
      <x:color rgb="FFFFFFFF"/>
      <x:name val="Arial"/>
    </x:font>
    <x:font>
      <x:sz val="9"/>
      <x:name val="Arial"/>
    </x:font>
    <x:font>
      <x:sz val="10"/>
      <x:name val="Arial"/>
    </x:font>
    <x:font>
      <x:b/>
      <x:sz val="10"/>
      <x:color rgb="FF991B1B"/>
      <x:name val="Arial"/>
    </x:font>
    <x:font>
      <x:b/>
      <x:sz val="9"/>
      <x:color rgb="FF9C5700"/>
      <x:name val="Arial"/>
    </x:font>
    <x:font>
      <x:b/>
      <x:sz val="16"/>
      <x:color rgb="FF17365D"/>
      <x:name val="Arial"/>
    </x:font>
    <x:font>
      <x:i/>
      <x:sz val="10"/>
      <x:color rgb="FF53677A"/>
      <x:name val="Arial"/>
    </x:font>
    <x:font>
      <x:sz val="9"/>
      <x:color rgb="FF6B7280"/>
      <x:name val="Arial"/>
    </x:font>
    <x:font>
      <x:b/>
      <x:sz val="9"/>
      <x:color rgb="FFFFFFFF"/>
      <x:name val="Arial"/>
    </x:font>
    <x:font>
      <x:sz val="9"/>
      <x:color rgb="FF1F2937"/>
      <x:name val="Arial"/>
    </x:font>
  </x:fonts>
  <x:fills count="9">
    <x:fill>
      <x:patternFill patternType="none"/>
    </x:fill>
    <x:fill>
      <x:patternFill patternType="gray125"/>
    </x:fill>
    <x:fill>
      <x:patternFill patternType="solid">
        <x:fgColor rgb="FFDCE6F1"/>
      </x:patternFill>
    </x:fill>
    <x:fill>
      <x:patternFill patternType="solid">
        <x:fgColor rgb="FF1F4E78"/>
      </x:patternFill>
    </x:fill>
    <x:fill>
      <x:patternFill patternType="solid">
        <x:fgColor rgb="FFFFF4CC"/>
      </x:patternFill>
    </x:fill>
    <x:fill>
      <x:patternFill patternType="solid">
        <x:fgColor rgb="FFFEFCE8"/>
      </x:patternFill>
    </x:fill>
    <x:fill>
      <x:patternFill patternType="solid">
        <x:fgColor rgb="FFFECACA"/>
      </x:patternFill>
    </x:fill>
    <x:fill>
      <x:patternFill patternType="solid">
        <x:fgColor rgb="FFFFF4CE"/>
      </x:patternFill>
    </x:fill>
    <x:fill>
      <x:patternFill patternType="solid">
        <x:fgColor rgb="FF1F4E78"/>
      </x:patternFill>
    </x:fill>
  </x:fills>
  <x:borders count="8">
    <x:border/>
    <x:border>
      <x:right style="thin">
        <x:color rgb="FFFFFFFF"/>
      </x:right>
    </x:border>
    <x:border>
      <x:left style="thin">
        <x:color rgb="FFFFFFFF"/>
      </x:left>
      <x:right style="thin">
        <x:color rgb="FFFFFFFF"/>
      </x:right>
    </x:border>
    <x:border>
      <x:left style="thin">
        <x:color rgb="FFFFFFFF"/>
      </x:left>
    </x:border>
    <x:border>
      <x:bottom style="thin">
        <x:color rgb="FFE5E7EB"/>
      </x:bottom>
    </x:border>
    <x:border>
      <x:top style="thin">
        <x:color rgb="FFE5E7EB"/>
      </x:top>
      <x:bottom style="thin">
        <x:color rgb="FFE5E7EB"/>
      </x:bottom>
    </x:border>
    <x:border>
      <x:top style="thin">
        <x:color rgb="FFE5E7EB"/>
      </x:top>
    </x:border>
    <x:border>
      <x:bottom style="thin">
        <x:color rgb="FF9FB3C8"/>
      </x:bottom>
    </x:border>
  </x:borders>
  <x:cellStyleXfs count="1">
    <x:xf numFmtId="0" fontId="0" fillId="0" borderId="0"/>
  </x:cellStyleXfs>
  <x:cellXfs count="88">
    <x:xf numFmtId="0" fontId="0" fillId="0" borderId="0" xfId="0"/>
    <x:xf numFmtId="0" fontId="1" fillId="0" borderId="0" xfId="0" applyNumberFormat="1" applyFont="1" applyFill="1" applyBorder="1"/>
    <x:xf numFmtId="0" fontId="2" fillId="0" borderId="0" xfId="0" applyNumberFormat="1" applyFont="1" applyFill="1" applyBorder="1"/>
    <x:xf numFmtId="0" fontId="3" fillId="0" borderId="0" xfId="0" applyNumberFormat="1" applyFont="1" applyFill="1" applyBorder="1"/>
    <x:xf numFmtId="0" fontId="0" fillId="2" borderId="0" xfId="0" applyNumberFormat="1" applyFont="1" applyFill="1" applyBorder="1"/>
    <x:xf numFmtId="0" fontId="0" fillId="3" borderId="0" xfId="0" applyNumberFormat="1" applyFont="1" applyFill="1" applyBorder="1"/>
    <x:xf numFmtId="0" fontId="4" fillId="3" borderId="0" xfId="0" applyNumberFormat="1" applyFont="1" applyFill="1" applyBorder="1"/>
    <x:xf numFmtId="0" fontId="4" fillId="3" borderId="1" xfId="0" applyNumberFormat="1" applyFont="1" applyFill="1" applyBorder="1"/>
    <x:xf numFmtId="0" fontId="4" fillId="3" borderId="2" xfId="0" applyNumberFormat="1" applyFont="1" applyFill="1" applyBorder="1"/>
    <x:xf numFmtId="0" fontId="4" fillId="3" borderId="3" xfId="0" applyNumberFormat="1" applyFont="1" applyFill="1" applyBorder="1"/>
    <x:xf numFmtId="0" fontId="4" fillId="3" borderId="1" xfId="0" applyNumberFormat="1" applyFont="1" applyFill="1" applyBorder="1" applyAlignment="1">
      <x:alignment wrapText="1"/>
    </x:xf>
    <x:xf numFmtId="0" fontId="4" fillId="3" borderId="2" xfId="0" applyNumberFormat="1" applyFont="1" applyFill="1" applyBorder="1" applyAlignment="1">
      <x:alignment wrapText="1"/>
    </x:xf>
    <x:xf numFmtId="0" fontId="4" fillId="3" borderId="3" xfId="0" applyNumberFormat="1" applyFont="1" applyFill="1" applyBorder="1" applyAlignment="1">
      <x:alignment wrapText="1"/>
    </x:xf>
    <x:xf numFmtId="0" fontId="4" fillId="3" borderId="1" xfId="0" applyNumberFormat="1" applyFont="1" applyFill="1" applyBorder="1" applyAlignment="1">
      <x:alignment horizontal="center" wrapText="1"/>
    </x:xf>
    <x:xf numFmtId="0" fontId="4" fillId="3" borderId="2" xfId="0" applyNumberFormat="1" applyFont="1" applyFill="1" applyBorder="1" applyAlignment="1">
      <x:alignment horizontal="center" wrapText="1"/>
    </x:xf>
    <x:xf numFmtId="0" fontId="4" fillId="3" borderId="3" xfId="0" applyNumberFormat="1" applyFont="1" applyFill="1" applyBorder="1" applyAlignment="1">
      <x:alignment horizontal="center" wrapText="1"/>
    </x:xf>
    <x:xf numFmtId="0" fontId="4" fillId="3" borderId="1" xfId="0" applyNumberFormat="1" applyFont="1" applyFill="1" applyBorder="1" applyAlignment="1">
      <x:alignment horizontal="center" vertical="center" wrapText="1"/>
    </x:xf>
    <x:xf numFmtId="0" fontId="4" fillId="3" borderId="2" xfId="0" applyNumberFormat="1" applyFont="1" applyFill="1" applyBorder="1" applyAlignment="1">
      <x:alignment horizontal="center" vertical="center" wrapText="1"/>
    </x:xf>
    <x:xf numFmtId="0" fontId="4" fillId="3" borderId="3" xfId="0" applyNumberFormat="1" applyFont="1" applyFill="1" applyBorder="1" applyAlignment="1">
      <x:alignment horizontal="center" vertical="center" wrapText="1"/>
    </x:xf>
    <x:xf numFmtId="0" fontId="5" fillId="0" borderId="0" xfId="0" applyNumberFormat="1" applyFont="1" applyFill="1" applyBorder="1"/>
    <x:xf numFmtId="0" fontId="5" fillId="0" borderId="0" xfId="0" applyNumberFormat="1" applyFont="1" applyFill="1" applyBorder="1" applyAlignment="1">
      <x:alignment vertical="top"/>
    </x:xf>
    <x:xf numFmtId="0" fontId="5" fillId="0" borderId="0" xfId="0" applyNumberFormat="1" applyFont="1" applyFill="1" applyBorder="1" applyAlignment="1">
      <x:alignment vertical="top" wrapText="1"/>
    </x:xf>
    <x:xf numFmtId="0" fontId="5" fillId="0" borderId="4" xfId="0" applyNumberFormat="1" applyFont="1" applyFill="1" applyBorder="1" applyAlignment="1">
      <x:alignment vertical="top" wrapText="1"/>
    </x:xf>
    <x:xf numFmtId="0" fontId="5" fillId="0" borderId="5" xfId="0" applyNumberFormat="1" applyFont="1" applyFill="1" applyBorder="1" applyAlignment="1">
      <x:alignment vertical="top" wrapText="1"/>
    </x:xf>
    <x:xf numFmtId="0" fontId="5" fillId="0" borderId="6" xfId="0" applyNumberFormat="1" applyFont="1" applyFill="1" applyBorder="1" applyAlignment="1">
      <x:alignment vertical="top" wrapText="1"/>
    </x:xf>
    <x:xf numFmtId="200" fontId="5" fillId="0" borderId="4" xfId="0" applyNumberFormat="1" applyFont="1" applyFill="1" applyBorder="1" applyAlignment="1">
      <x:alignment vertical="top" wrapText="1"/>
    </x:xf>
    <x:xf numFmtId="200" fontId="5" fillId="0" borderId="5" xfId="0" applyNumberFormat="1" applyFont="1" applyFill="1" applyBorder="1" applyAlignment="1">
      <x:alignment vertical="top" wrapText="1"/>
    </x:xf>
    <x:xf numFmtId="200" fontId="5" fillId="0" borderId="6" xfId="0" applyNumberFormat="1" applyFont="1" applyFill="1" applyBorder="1" applyAlignment="1">
      <x:alignment vertical="top" wrapText="1"/>
    </x:xf>
    <x:xf numFmtId="0" fontId="5" fillId="4" borderId="4" xfId="0" applyNumberFormat="1" applyFont="1" applyFill="1" applyBorder="1" applyAlignment="1">
      <x:alignment vertical="top" wrapText="1"/>
    </x:xf>
    <x:xf numFmtId="0" fontId="5" fillId="4" borderId="5" xfId="0" applyNumberFormat="1" applyFont="1" applyFill="1" applyBorder="1" applyAlignment="1">
      <x:alignment vertical="top" wrapText="1"/>
    </x:xf>
    <x:xf numFmtId="0" fontId="5" fillId="4" borderId="6" xfId="0" applyNumberFormat="1" applyFont="1" applyFill="1" applyBorder="1" applyAlignment="1">
      <x:alignment vertical="top" wrapText="1"/>
    </x:xf>
    <x:xf numFmtId="0" fontId="5" fillId="5" borderId="4" xfId="0" applyNumberFormat="1" applyFont="1" applyFill="1" applyBorder="1" applyAlignment="1">
      <x:alignment vertical="top" wrapText="1"/>
    </x:xf>
    <x:xf numFmtId="0" fontId="5" fillId="5" borderId="5" xfId="0" applyNumberFormat="1" applyFont="1" applyFill="1" applyBorder="1" applyAlignment="1">
      <x:alignment vertical="top" wrapText="1"/>
    </x:xf>
    <x:xf numFmtId="0" fontId="5" fillId="5" borderId="6" xfId="0" applyNumberFormat="1" applyFont="1" applyFill="1" applyBorder="1" applyAlignment="1">
      <x:alignment vertical="top" wrapText="1"/>
    </x:xf>
    <x:xf numFmtId="0" fontId="6" fillId="3" borderId="0" xfId="0" applyNumberFormat="1" applyFont="1" applyFill="1" applyBorder="1"/>
    <x:xf numFmtId="0" fontId="6" fillId="3" borderId="0" xfId="0" applyNumberFormat="1" applyFont="1" applyFill="1" applyBorder="1" applyAlignment="1">
      <x:alignment wrapText="1"/>
    </x:xf>
    <x:xf numFmtId="0" fontId="6" fillId="3" borderId="0" xfId="0" applyNumberFormat="1" applyFont="1" applyFill="1" applyBorder="1" applyAlignment="1">
      <x:alignment horizontal="center" wrapText="1"/>
    </x:xf>
    <x:xf numFmtId="0" fontId="7" fillId="0" borderId="0" xfId="0" applyNumberFormat="1" applyFont="1" applyFill="1" applyBorder="1"/>
    <x:xf numFmtId="0" fontId="7" fillId="0" borderId="4"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4"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4"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6" fillId="3" borderId="0" xfId="0" applyNumberFormat="1" applyFont="1" applyFill="1" applyBorder="1" applyAlignment="1">
      <x:alignment horizontal="center"/>
    </x:xf>
    <x:xf numFmtId="0" fontId="8" fillId="0" borderId="0" xfId="0" applyNumberFormat="1" applyFont="1" applyFill="1" applyBorder="1"/>
    <x:xf numFmtId="0" fontId="8" fillId="0" borderId="4" xfId="0" applyNumberFormat="1" applyFont="1" applyFill="1" applyBorder="1"/>
    <x:xf numFmtId="0" fontId="8" fillId="0" borderId="5" xfId="0" applyNumberFormat="1" applyFont="1" applyFill="1" applyBorder="1"/>
    <x:xf numFmtId="0" fontId="8" fillId="0" borderId="6" xfId="0" applyNumberFormat="1" applyFont="1" applyFill="1" applyBorder="1"/>
    <x:xf numFmtId="0" fontId="8" fillId="0" borderId="4" xfId="0" applyNumberFormat="1" applyFont="1" applyFill="1" applyBorder="1" applyAlignment="1">
      <x:alignment wrapText="1"/>
    </x:xf>
    <x:xf numFmtId="0" fontId="8" fillId="0" borderId="5" xfId="0" applyNumberFormat="1" applyFont="1" applyFill="1" applyBorder="1" applyAlignment="1">
      <x:alignment wrapText="1"/>
    </x:xf>
    <x:xf numFmtId="0" fontId="8" fillId="0" borderId="6" xfId="0" applyNumberFormat="1" applyFont="1" applyFill="1" applyBorder="1" applyAlignment="1">
      <x:alignment wrapText="1"/>
    </x:xf>
    <x:xf numFmtId="0" fontId="8" fillId="6" borderId="4" xfId="0" applyNumberFormat="1" applyFont="1" applyFill="1" applyBorder="1" applyAlignment="1">
      <x:alignment wrapText="1"/>
    </x:xf>
    <x:xf numFmtId="0" fontId="9" fillId="6" borderId="4" xfId="0" applyNumberFormat="1" applyFont="1" applyFill="1" applyBorder="1" applyAlignment="1">
      <x:alignment wrapText="1"/>
    </x:xf>
    <x:xf numFmtId="200" fontId="8" fillId="0" borderId="5" xfId="0" applyNumberFormat="1" applyFont="1" applyFill="1" applyBorder="1" applyAlignment="1">
      <x:alignment wrapText="1"/>
    </x:xf>
    <x:xf numFmtId="200" fontId="7" fillId="0" borderId="4" xfId="0" applyNumberFormat="1" applyFont="1" applyFill="1" applyBorder="1" applyAlignment="1">
      <x:alignment vertical="top" wrapText="1"/>
    </x:xf>
    <x:xf numFmtId="200" fontId="7" fillId="0" borderId="5"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0" fontId="3" fillId="7" borderId="0" xfId="0" applyNumberFormat="1" applyFont="1" applyFill="1" applyBorder="1"/>
    <x:xf numFmtId="0" fontId="10" fillId="7" borderId="0" xfId="0" applyNumberFormat="1" applyFont="1" applyFill="1" applyBorder="1"/>
    <x:xf numFmtId="0" fontId="0" fillId="0" borderId="7" xfId="0" applyNumberFormat="1" applyFont="1" applyFill="1" applyBorder="1"/>
    <x:xf numFmtId="0" fontId="11" fillId="0" borderId="7" xfId="0" applyNumberFormat="1" applyFont="1" applyFill="1" applyBorder="1"/>
    <x:xf numFmtId="0" fontId="12" fillId="0" borderId="0" xfId="0" applyNumberFormat="1" applyFont="1" applyFill="1" applyBorder="1"/>
    <x:xf numFmtId="0" fontId="13" fillId="0" borderId="0" xfId="0" applyNumberFormat="1" applyFont="1" applyFill="1" applyBorder="1"/>
    <x:xf numFmtId="0" fontId="0" fillId="8" borderId="0" xfId="0" applyNumberFormat="1" applyFont="1" applyFill="1" applyBorder="1"/>
    <x:xf numFmtId="0" fontId="14" fillId="8" borderId="0" xfId="0" applyNumberFormat="1" applyFont="1" applyFill="1" applyBorder="1"/>
    <x:xf numFmtId="0" fontId="14" fillId="8" borderId="1" xfId="0" applyNumberFormat="1" applyFont="1" applyFill="1" applyBorder="1"/>
    <x:xf numFmtId="0" fontId="14" fillId="8" borderId="2" xfId="0" applyNumberFormat="1" applyFont="1" applyFill="1" applyBorder="1"/>
    <x:xf numFmtId="0" fontId="14" fillId="8" borderId="3" xfId="0" applyNumberFormat="1" applyFont="1" applyFill="1" applyBorder="1"/>
    <x:xf numFmtId="0" fontId="14" fillId="8" borderId="1" xfId="0" applyNumberFormat="1" applyFont="1" applyFill="1" applyBorder="1" applyAlignment="1">
      <x:alignment wrapText="1"/>
    </x:xf>
    <x:xf numFmtId="0" fontId="14" fillId="8" borderId="2" xfId="0" applyNumberFormat="1" applyFont="1" applyFill="1" applyBorder="1" applyAlignment="1">
      <x:alignment wrapText="1"/>
    </x:xf>
    <x:xf numFmtId="0" fontId="14" fillId="8" borderId="3" xfId="0" applyNumberFormat="1" applyFont="1" applyFill="1" applyBorder="1" applyAlignment="1">
      <x:alignment wrapText="1"/>
    </x:xf>
    <x:xf numFmtId="0" fontId="14" fillId="8" borderId="1" xfId="0" applyNumberFormat="1" applyFont="1" applyFill="1" applyBorder="1" applyAlignment="1">
      <x:alignment horizontal="center" wrapText="1"/>
    </x:xf>
    <x:xf numFmtId="0" fontId="14" fillId="8" borderId="2" xfId="0" applyNumberFormat="1" applyFont="1" applyFill="1" applyBorder="1" applyAlignment="1">
      <x:alignment horizontal="center" wrapText="1"/>
    </x:xf>
    <x:xf numFmtId="0" fontId="14" fillId="8" borderId="3" xfId="0" applyNumberFormat="1" applyFont="1" applyFill="1" applyBorder="1" applyAlignment="1">
      <x:alignment horizontal="center" wrapText="1"/>
    </x:xf>
    <x:xf numFmtId="0" fontId="14" fillId="8" borderId="1" xfId="0" applyNumberFormat="1" applyFont="1" applyFill="1" applyBorder="1" applyAlignment="1">
      <x:alignment horizontal="center" vertical="center" wrapText="1"/>
    </x:xf>
    <x:xf numFmtId="0" fontId="14" fillId="8" borderId="2" xfId="0" applyNumberFormat="1" applyFont="1" applyFill="1" applyBorder="1" applyAlignment="1">
      <x:alignment horizontal="center" vertical="center" wrapText="1"/>
    </x:xf>
    <x:xf numFmtId="0" fontId="14" fillId="8" borderId="3" xfId="0" applyNumberFormat="1" applyFont="1" applyFill="1" applyBorder="1" applyAlignment="1">
      <x:alignment horizontal="center" vertical="center" wrapText="1"/>
    </x:xf>
    <x:xf numFmtId="0" fontId="15" fillId="0" borderId="0" xfId="0" applyNumberFormat="1" applyFont="1" applyFill="1" applyBorder="1"/>
    <x:xf numFmtId="0" fontId="15" fillId="0" borderId="0" xfId="0" applyNumberFormat="1" applyFont="1" applyFill="1" applyBorder="1" applyAlignment="1">
      <x:alignment vertical="top"/>
    </x:xf>
    <x:xf numFmtId="0" fontId="15" fillId="0" borderId="0" xfId="0" applyNumberFormat="1" applyFont="1" applyFill="1" applyBorder="1" applyAlignment="1">
      <x:alignment vertical="top" wrapText="1"/>
    </x:xf>
    <x:xf numFmtId="0" fontId="15" fillId="0" borderId="4" xfId="0" applyNumberFormat="1" applyFont="1" applyFill="1" applyBorder="1" applyAlignment="1">
      <x:alignment vertical="top" wrapText="1"/>
    </x:xf>
    <x:xf numFmtId="0" fontId="15" fillId="0" borderId="5" xfId="0" applyNumberFormat="1" applyFont="1" applyFill="1" applyBorder="1" applyAlignment="1">
      <x:alignment vertical="top" wrapText="1"/>
    </x:xf>
    <x:xf numFmtId="0" fontId="15" fillId="0" borderId="6" xfId="0" applyNumberFormat="1" applyFont="1" applyFill="1" applyBorder="1" applyAlignment="1">
      <x:alignment vertical="top" wrapText="1"/>
    </x:xf>
    <x:xf numFmtId="0" fontId="10" fillId="0" borderId="0" xfId="0" applyNumberFormat="1" applyFont="1" applyFill="1" applyBorder="1"/>
  </x:cellXfs>
  <x:cellStyles count="1">
    <x:cellStyle name="Normal" xfId="0"/>
  </x:cellStyles>
  <x:dxfs count="17">
    <x:dxf>
      <x:font>
        <x:b/>
        <x:color rgb="FF991B1B"/>
      </x:font>
      <x:fill>
        <x:patternFill>
          <x:bgColor rgb="FFFECACA"/>
        </x:patternFill>
      </x:fill>
    </x:dxf>
    <x:dxf>
      <x:font>
        <x:b/>
        <x:color rgb="FF9A3412"/>
      </x:font>
      <x:fill>
        <x:patternFill>
          <x:bgColor rgb="FFFED7AA"/>
        </x:patternFill>
      </x:fill>
    </x:dxf>
    <x:dxf>
      <x:font>
        <x:b/>
        <x:color rgb="FF991B1B"/>
      </x:font>
      <x:fill>
        <x:patternFill>
          <x:bgColor rgb="FFFECACA"/>
        </x:patternFill>
      </x:fill>
    </x:dxf>
    <x:dxf>
      <x:font>
        <x:b/>
        <x:color rgb="FF166534"/>
      </x:font>
      <x:fill>
        <x:patternFill>
          <x:bgColor rgb="FFDCFCE7"/>
        </x:patternFill>
      </x:fill>
    </x:dxf>
    <x:dxf>
      <x:font>
        <x:b/>
        <x:color rgb="FF166534"/>
      </x:font>
      <x:fill>
        <x:patternFill>
          <x:bgColor rgb="FFDCFCE7"/>
        </x:patternFill>
      </x:fill>
    </x:dxf>
    <x:dxf>
      <x:font>
        <x:b/>
        <x:color rgb="FF991B1B"/>
      </x:font>
      <x:fill>
        <x:patternFill>
          <x:bgColor rgb="FFFECACA"/>
        </x:patternFill>
      </x:fill>
    </x:dxf>
    <x:dxf>
      <x:font>
        <x:b/>
        <x:color rgb="FF166534"/>
      </x:font>
      <x:fill>
        <x:patternFill>
          <x:bgColor rgb="FFDCFCE7"/>
        </x:patternFill>
      </x:fill>
    </x:dxf>
    <x:dxf>
      <x:font>
        <x:b/>
        <x:color rgb="FF166534"/>
      </x:font>
      <x:fill>
        <x:patternFill>
          <x:bgColor rgb="FFDCFCE7"/>
        </x:patternFill>
      </x:fill>
    </x:dxf>
    <x:dxf>
      <x:font>
        <x:b/>
        <x:color rgb="FF991B1B"/>
      </x:font>
      <x:fill>
        <x:patternFill>
          <x:bgColor rgb="FFFECACA"/>
        </x:patternFill>
      </x:fill>
    </x:dxf>
    <x:dxf>
      <x:font>
        <x:b/>
        <x:color rgb="FF166534"/>
      </x:font>
      <x:fill>
        <x:patternFill>
          <x:bgColor rgb="FFDCFCE7"/>
        </x:patternFill>
      </x:fill>
    </x:dxf>
    <x:dxf>
      <x:font>
        <x:b/>
        <x:color rgb="FF991B1B"/>
      </x:font>
      <x:fill>
        <x:patternFill>
          <x:bgColor rgb="FFFECACA"/>
        </x:patternFill>
      </x:fill>
    </x:dxf>
    <x:dxf>
      <x:font>
        <x:b/>
        <x:color rgb="FF9A3412"/>
      </x:font>
      <x:fill>
        <x:patternFill>
          <x:bgColor rgb="FFFED7AA"/>
        </x:patternFill>
      </x:fill>
    </x:dxf>
    <x:dxf>
      <x:font>
        <x:b/>
        <x:color rgb="FF166534"/>
      </x:font>
      <x:fill>
        <x:patternFill>
          <x:bgColor rgb="FFDCFCE7"/>
        </x:patternFill>
      </x:fill>
    </x:dxf>
    <x:dxf>
      <x:font>
        <x:b/>
        <x:color rgb="FF166534"/>
      </x:font>
      <x:fill>
        <x:patternFill>
          <x:bgColor rgb="FFDCFCE7"/>
        </x:patternFill>
      </x:fill>
    </x:dxf>
    <x:dxf>
      <x:font>
        <x:b/>
        <x:color rgb="FF991B1B"/>
      </x:font>
      <x:fill>
        <x:patternFill>
          <x:bgColor rgb="FFFECACA"/>
        </x:patternFill>
      </x:fill>
    </x:dxf>
    <x:dxf>
      <x:font>
        <x:b/>
        <x:color rgb="FF991B1B"/>
      </x:font>
      <x:fill>
        <x:patternFill>
          <x:bgColor rgb="FFFECACA"/>
        </x:patternFill>
      </x:fill>
    </x:dxf>
    <x:dxf>
      <x:font>
        <x:b/>
        <x:color rgb="FF991B1B"/>
      </x:font>
      <x:fill>
        <x:patternFill>
          <x:bgColor rgb="FFFECAC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4be329f0d57b4b99" /><Relationship Type="http://schemas.openxmlformats.org/officeDocument/2006/relationships/theme" Target="/xl/theme/theme1.xml" Id="Rdd53901090804097" /><Relationship Type="http://schemas.openxmlformats.org/officeDocument/2006/relationships/sharedStrings" Target="/xl/sharedStrings.xml" Id="R9aaa25a8440745d3" /><Relationship Type="http://schemas.openxmlformats.org/officeDocument/2006/relationships/worksheet" Target="/xl/worksheets/sheet1.xml" Id="R7fd359cb036f496a" /><Relationship Type="http://schemas.openxmlformats.org/officeDocument/2006/relationships/worksheet" Target="/xl/worksheets/sheet2.xml" Id="R91e291fe82ca4090" /><Relationship Type="http://schemas.openxmlformats.org/officeDocument/2006/relationships/worksheet" Target="/xl/worksheets/sheet3.xml" Id="Rdf41aa11da9f4a07" /><Relationship Type="http://schemas.openxmlformats.org/officeDocument/2006/relationships/worksheet" Target="/xl/worksheets/sheet4.xml" Id="R2454862f1a2f4d70" /><Relationship Type="http://schemas.openxmlformats.org/officeDocument/2006/relationships/worksheet" Target="/xl/worksheets/sheet5.xml" Id="R55e256075f5e4b3c" /><Relationship Type="http://schemas.openxmlformats.org/officeDocument/2006/relationships/worksheet" Target="/xl/worksheets/sheet6.xml" Id="R198f15e9534b422b" /><Relationship Type="http://schemas.openxmlformats.org/officeDocument/2006/relationships/worksheet" Target="/xl/worksheets/sheet7.xml" Id="R79ab3fb6ff4943cd" /><Relationship Type="http://schemas.openxmlformats.org/officeDocument/2006/relationships/worksheet" Target="/xl/worksheets/sheet8.xml" Id="R6cf42bc08e574360" /><Relationship Type="http://schemas.openxmlformats.org/officeDocument/2006/relationships/worksheet" Target="/xl/worksheets/sheet9.xml" Id="R13a030f5386442b3" /><Relationship Type="http://schemas.openxmlformats.org/officeDocument/2006/relationships/worksheet" Target="/xl/worksheets/sheet10.xml" Id="Rc7bdadcd52334db6" /><Relationship Type="http://schemas.openxmlformats.org/officeDocument/2006/relationships/worksheet" Target="/xl/worksheets/sheet11.xml" Id="Rbbbf37fac7a745c4" /><Relationship Type="http://schemas.openxmlformats.org/officeDocument/2006/relationships/worksheet" Target="/xl/worksheets/sheet12.xml" Id="R2592c83b9839463e" /><Relationship Type="http://schemas.openxmlformats.org/officeDocument/2006/relationships/worksheet" Target="/xl/worksheets/sheet13.xml" Id="R87508d4d39c74bc5" /><Relationship Type="http://schemas.openxmlformats.org/officeDocument/2006/relationships/worksheet" Target="/xl/worksheets/sheet14.xml" Id="Rd813fc7b8c134497" /><Relationship Type="http://schemas.openxmlformats.org/officeDocument/2006/relationships/worksheet" Target="/xl/worksheets/sheet15.xml" Id="R1fef25a4f897493a" /><Relationship Type="http://schemas.openxmlformats.org/officeDocument/2006/relationships/worksheet" Target="/xl/worksheets/sheet16.xml" Id="R12c6ca89e8a4421a" /><Relationship Type="http://schemas.openxmlformats.org/officeDocument/2006/relationships/worksheet" Target="/xl/worksheets/sheet17.xml" Id="R8e85e2b92b1247b4" /><Relationship Type="http://schemas.openxmlformats.org/officeDocument/2006/relationships/worksheet" Target="/xl/worksheets/sheet18.xml" Id="R920772a9ba9f4c57" /></Relationships>
</file>

<file path=xl/tables/table1.xml><?xml version="1.0" encoding="utf-8"?>
<x:table xmlns:x="http://schemas.openxmlformats.org/spreadsheetml/2006/main" id="1" name="MasterTasksTable" displayName="MasterTasksTable" ref="A5:AB143" headerRowCount="1" totalsRowCount="0" totalsRowShown="0">
  <x:tableColumns count="28">
    <x:tableColumn id="1" name="Task ID"/>
    <x:tableColumn id="2" name="Wave"/>
    <x:tableColumn id="3" name="Sequence"/>
    <x:tableColumn id="4" name="Module"/>
    <x:tableColumn id="5" name="Menu / Route"/>
    <x:tableColumn id="6" name="Persona"/>
    <x:tableColumn id="7" name="Current issue"/>
    <x:tableColumn id="8" name="Planned fix / improvement"/>
    <x:tableColumn id="9" name="Work type"/>
    <x:tableColumn id="10" name="Priority"/>
    <x:tableColumn id="11" name="Dependencies"/>
    <x:tableColumn id="12" name="Acceptance criteria"/>
    <x:tableColumn id="13" name="Production-like verification"/>
    <x:tableColumn id="14" name="Availability"/>
    <x:tableColumn id="15" name="Implementation status"/>
    <x:tableColumn id="16" name="Code review"/>
    <x:tableColumn id="17" name="Automated tests"/>
    <x:tableColumn id="18" name="Browser UAT"/>
    <x:tableColumn id="19" name="Documentation"/>
    <x:tableColumn id="20" name="Owner"/>
    <x:tableColumn id="21" name="Evidence / Defect link"/>
    <x:tableColumn id="22" name="Source reference"/>
    <x:tableColumn id="23" name="Desktop"/>
    <x:tableColumn id="24" name="Mobile / Tablet"/>
    <x:tableColumn id="25" name="Keyboard"/>
    <x:tableColumn id="26" name="200% Zoom"/>
    <x:tableColumn id="27" name="Business sign-off"/>
    <x:tableColumn id="28" name="Notes"/>
  </x:tableColumns>
  <x:tableStyleInfo name="TableStyleMedium2" showFirstColumn="0" showLastColumn="0" showRowStripes="1" showColumnStripes="0"/>
</x:table>
</file>

<file path=xl/tables/table2.xml><?xml version="1.0" encoding="utf-8"?>
<x:table xmlns:x="http://schemas.openxmlformats.org/spreadsheetml/2006/main" id="2" name="ModuleFlowsTable" displayName="ModuleFlowsTable" ref="A5:K25" headerRowCount="1" totalsRowCount="0" totalsRowShown="0">
  <x:tableColumns count="11">
    <x:tableColumn id="1" name="Flow ID"/>
    <x:tableColumn id="2" name="Wave"/>
    <x:tableColumn id="3" name="Module"/>
    <x:tableColumn id="4" name="Roles"/>
    <x:tableColumn id="5" name="Entry"/>
    <x:tableColumn id="6" name="Detailed flow"/>
    <x:tableColumn id="7" name="Role handoffs"/>
    <x:tableColumn id="8" name="Exit outcome"/>
    <x:tableColumn id="9" name="Dependencies"/>
    <x:tableColumn id="10" name="Current availability"/>
    <x:tableColumn id="11" name="Module acceptance gate"/>
  </x:tableColumns>
  <x:tableStyleInfo name="TableStyleMedium2" showFirstColumn="0" showLastColumn="0" showRowStripes="1" showColumnStripes="0"/>
</x:table>
</file>

<file path=xl/tables/table3.xml><?xml version="1.0" encoding="utf-8"?>
<x:table xmlns:x="http://schemas.openxmlformats.org/spreadsheetml/2006/main" id="3" name="ProductionSettingsTable" displayName="ProductionSettingsTable" ref="A5:I45" headerRowCount="1" totalsRowCount="0" totalsRowShown="0">
  <x:tableColumns count="9">
    <x:tableColumn id="1" name="Control ID"/>
    <x:tableColumn id="2" name="Area"/>
    <x:tableColumn id="3" name="Setting / Control"/>
    <x:tableColumn id="4" name="Production-like UAT requirement"/>
    <x:tableColumn id="5" name="Target / Default"/>
    <x:tableColumn id="6" name="Required evidence"/>
    <x:tableColumn id="7" name="Owner"/>
    <x:tableColumn id="8" name="Status"/>
    <x:tableColumn id="9" name="Safety note"/>
  </x:tableColumns>
  <x:tableStyleInfo name="TableStyleMedium2" showFirstColumn="0" showLastColumn="0" showRowStripes="1" showColumnStripes="0"/>
</x:table>
</file>

<file path=xl/tables/table4.xml><?xml version="1.0" encoding="utf-8"?>
<x:table xmlns:x="http://schemas.openxmlformats.org/spreadsheetml/2006/main" id="4" name="PersonaUatTable" displayName="PersonaUatTable" ref="A5:M55" headerRowCount="1" totalsRowCount="0" totalsRowShown="0">
  <x:tableColumns count="13">
    <x:tableColumn id="1" name="Case ID"/>
    <x:tableColumn id="2" name="Persona"/>
    <x:tableColumn id="3" name="Module"/>
    <x:tableColumn id="4" name="Scenario"/>
    <x:tableColumn id="5" name="Preconditions"/>
    <x:tableColumn id="6" name="Test flow"/>
    <x:tableColumn id="7" name="Expected result"/>
    <x:tableColumn id="8" name="Environment"/>
    <x:tableColumn id="9" name="Status"/>
    <x:tableColumn id="10" name="Evidence"/>
    <x:tableColumn id="11" name="Defect ID"/>
    <x:tableColumn id="12" name="Retest status"/>
    <x:tableColumn id="13" name="Business approver"/>
  </x:tableColumns>
  <x:tableStyleInfo name="TableStyleMedium2" showFirstColumn="0" showLastColumn="0" showRowStripes="1" showColumnStripes="0"/>
</x:table>
</file>

<file path=xl/tables/table5.xml><?xml version="1.0" encoding="utf-8"?>
<x:table xmlns:x="http://schemas.openxmlformats.org/spreadsheetml/2006/main" id="5" name="DefectsRetestsTable" displayName="DefectsRetestsTable" ref="A5:O59" headerRowCount="1" totalsRowCount="0" totalsRowShown="0">
  <x:tableColumns count="15">
    <x:tableColumn id="1" name="Defect ID"/>
    <x:tableColumn id="2" name="Severity"/>
    <x:tableColumn id="3" name="Module"/>
    <x:tableColumn id="4" name="Location"/>
    <x:tableColumn id="5" name="Summary"/>
    <x:tableColumn id="6" name="Related task"/>
    <x:tableColumn id="7" name="Found in SHA"/>
    <x:tableColumn id="8" name="Found by"/>
    <x:tableColumn id="9" name="Status"/>
    <x:tableColumn id="10" name="Owner"/>
    <x:tableColumn id="11" name="Fix SHA"/>
    <x:tableColumn id="12" name="Retest case"/>
    <x:tableColumn id="13" name="Retest status"/>
    <x:tableColumn id="14" name="Evidence"/>
    <x:tableColumn id="15" name="Release disposition"/>
  </x:tableColumns>
  <x:tableStyleInfo name="TableStyleMedium2" showFirstColumn="0" showLastColumn="0" showRowStripes="1" showColumnStripes="0"/>
</x:table>
</file>

<file path=xl/tables/table6.xml><?xml version="1.0" encoding="utf-8"?>
<x:table xmlns:x="http://schemas.openxmlformats.org/spreadsheetml/2006/main" id="6" name="DocumentationPlanTable" displayName="DocumentationPlanTable" ref="A5:J28" headerRowCount="1" totalsRowCount="0" totalsRowShown="0">
  <x:tableColumns count="10">
    <x:tableColumn id="1" name="Document ID"/>
    <x:tableColumn id="2" name="Module"/>
    <x:tableColumn id="3" name="Audience"/>
    <x:tableColumn id="4" name="Document type"/>
    <x:tableColumn id="5" name="Required content"/>
    <x:tableColumn id="6" name="Availability label"/>
    <x:tableColumn id="7" name="Related tasks"/>
    <x:tableColumn id="8" name="Status"/>
    <x:tableColumn id="9" name="Reviewer"/>
    <x:tableColumn id="10" name="Acceptance evidence"/>
  </x:tableColumns>
  <x:tableStyleInfo name="TableStyleMedium2" showFirstColumn="0" showLastColumn="0" showRowStripes="1" showColumnStripes="0"/>
</x:table>
</file>

<file path=xl/tables/table7.xml><?xml version="1.0" encoding="utf-8"?>
<x:table xmlns:x="http://schemas.openxmlformats.org/spreadsheetml/2006/main" id="7" name="ReleaseGatesTable" displayName="ReleaseGatesTable" ref="A5:H33" headerRowCount="1" totalsRowCount="0" totalsRowShown="0">
  <x:tableColumns count="8">
    <x:tableColumn id="1" name="Gate ID"/>
    <x:tableColumn id="2" name="Area"/>
    <x:tableColumn id="3" name="Gate"/>
    <x:tableColumn id="4" name="Requirement"/>
    <x:tableColumn id="5" name="Evidence"/>
    <x:tableColumn id="6" name="Owner"/>
    <x:tableColumn id="7" name="Status"/>
    <x:tableColumn id="8" name="Blocks production"/>
  </x:tableColumns>
  <x:tableStyleInfo name="TableStyleMedium2" showFirstColumn="0" showLastColumn="0" showRowStripes="1" showColumnStripes="0"/>
</x:table>
</file>

<file path=xl/tables/table8.xml><?xml version="1.0" encoding="utf-8"?>
<x:table xmlns:x="http://schemas.openxmlformats.org/spreadsheetml/2006/main" id="8" name="SourcesTable" displayName="SourcesTable" ref="A5:E16" headerRowCount="1" totalsRowCount="0" totalsRowShown="0">
  <x:tableColumns count="5">
    <x:tableColumn id="1" name="Source ID"/>
    <x:tableColumn id="2" name="Source type"/>
    <x:tableColumn id="3" name="Reference"/>
    <x:tableColumn id="4" name="Use in this plan"/>
    <x:tableColumn id="5" name="Limitation / refresh rule"/>
  </x:tableColumns>
  <x:tableStyleInfo name="TableStyleMedium2" showFirstColumn="0" showLastColumn="0" showRowStripes="1" showColumnStripes="0"/>
</x:table>
</file>

<file path=xl/tables/table9.xml><?xml version="1.0" encoding="utf-8"?>
<x:table xmlns:x="http://schemas.openxmlformats.org/spreadsheetml/2006/main" id="9" name="T_ReferenceDataContract" displayName="T_ReferenceDataContract" ref="A5:F30" headerRowCount="1" totalsRowCount="0" totalsRowShown="0">
  <x:tableColumns count="6">
    <x:tableColumn id="1" name="Domain"/>
    <x:tableColumn id="2" name="Canonical entity/data"/>
    <x:tableColumn id="3" name="Data class"/>
    <x:tableColumn id="4" name="Rule"/>
    <x:tableColumn id="5" name="Validation / evidence"/>
    <x:tableColumn id="6" name="Status"/>
  </x:tableColumns>
  <x:tableStyleInfo name="TableStyleMedium2" showFirstColumn="0" showLastColumn="0" showRowStripes="1" showColumnStripes="0"/>
</x:table>
</file>

<file path=xl/tables/table10.xml><?xml version="1.0" encoding="utf-8"?>
<x:table xmlns:x="http://schemas.openxmlformats.org/spreadsheetml/2006/main" id="10" name="T_OrganizationandPersona" displayName="T_OrganizationandPersona" ref="A5:M54" headerRowCount="1" totalsRowCount="0" totalsRowShown="0">
  <x:tableColumns count="13">
    <x:tableColumn id="1" name="Record type"/>
    <x:tableColumn id="2" name="Company Group"/>
    <x:tableColumn id="3" name="Company"/>
    <x:tableColumn id="4" name="Branch"/>
    <x:tableColumn id="5" name="Name / Persona"/>
    <x:tableColumn id="6" name="Department"/>
    <x:tableColumn id="7" name="Designation"/>
    <x:tableColumn id="8" name="Role"/>
    <x:tableColumn id="9" name="Scope"/>
    <x:tableColumn id="10" name="Login"/>
    <x:tableColumn id="11" name="Reporting manager"/>
    <x:tableColumn id="12" name="Data class"/>
    <x:tableColumn id="13" name="Purpose / configuration"/>
  </x:tableColumns>
  <x:tableStyleInfo name="TableStyleMedium2" showFirstColumn="0" showLastColumn="0" showRowStripes="1" showColumnStripes="0"/>
</x:table>
</file>

<file path=xl/tables/table11.xml><?xml version="1.0" encoding="utf-8"?>
<x:table xmlns:x="http://schemas.openxmlformats.org/spreadsheetml/2006/main" id="11" name="T_NavigationMap" displayName="T_NavigationMap" ref="A5:H17" headerRowCount="1" totalsRowCount="0" totalsRowShown="0">
  <x:tableColumns count="8">
    <x:tableColumn id="1" name="Order"/>
    <x:tableColumn id="2" name="Area"/>
    <x:tableColumn id="3" name="Purpose"/>
    <x:tableColumn id="4" name="Route count"/>
    <x:tableColumn id="5" name="Representative routes"/>
    <x:tableColumn id="6" name="Audience"/>
    <x:tableColumn id="7" name="Standard"/>
    <x:tableColumn id="8" name="Implementation"/>
  </x:tableColumns>
  <x:tableStyleInfo name="TableStyleMedium2" showFirstColumn="0" showLastColumn="0" showRowStripes="1" showColumnStripes="0"/>
</x:table>
</file>

<file path=xl/tables/table12.xml><?xml version="1.0" encoding="utf-8"?>
<x:table xmlns:x="http://schemas.openxmlformats.org/spreadsheetml/2006/main" id="12" name="T_EnvironmentDependencyA" displayName="T_EnvironmentDependencyA" ref="A5:G23" headerRowCount="1" totalsRowCount="0" totalsRowShown="0">
  <x:tableColumns count="7">
    <x:tableColumn id="1" name="Area"/>
    <x:tableColumn id="2" name="Setting / dependency"/>
    <x:tableColumn id="3" name="Observed / agreed"/>
    <x:tableColumn id="4" name="Required target"/>
    <x:tableColumn id="5" name="Validation"/>
    <x:tableColumn id="6" name="Status"/>
    <x:tableColumn id="7" name="Notes"/>
  </x:tableColumns>
  <x:tableStyleInfo name="TableStyleMedium2" showFirstColumn="0" showLastColumn="0" showRowStripes="1" showColumnStripes="0"/>
</x:table>
</file>

<file path=xl/tables/table13.xml><?xml version="1.0" encoding="utf-8"?>
<x:table xmlns:x="http://schemas.openxmlformats.org/spreadsheetml/2006/main" id="13" name="T_HardcodedSettingsRegis" displayName="T_HardcodedSettingsRegis" ref="A5:H22" headerRowCount="1" totalsRowCount="0" totalsRowShown="0">
  <x:tableColumns count="8">
    <x:tableColumn id="1" name="ID"/>
    <x:tableColumn id="2" name="Area"/>
    <x:tableColumn id="3" name="Location"/>
    <x:tableColumn id="4" name="Current behavior"/>
    <x:tableColumn id="5" name="Target behavior"/>
    <x:tableColumn id="6" name="Severity"/>
    <x:tableColumn id="7" name="Implementation status"/>
    <x:tableColumn id="8" name="Target / evidence date"/>
  </x:tableColumns>
  <x:tableStyleInfo name="TableStyleMedium2" showFirstColumn="0" showLastColumn="0" showRowStripes="1" showColumnStripes="0"/>
</x:table>
</file>

<file path=xl/tables/table14.xml><?xml version="1.0" encoding="utf-8"?>
<x:table xmlns:x="http://schemas.openxmlformats.org/spreadsheetml/2006/main" id="14" name="T_MenuWorkflowMatrix" displayName="T_MenuWorkflowMatrix" ref="A5:P74" headerRowCount="1" totalsRowCount="0" totalsRowShown="0">
  <x:tableColumns count="16">
    <x:tableColumn id="1" name="ID"/>
    <x:tableColumn id="2" name="Area"/>
    <x:tableColumn id="3" name="Menu"/>
    <x:tableColumn id="4" name="Route"/>
    <x:tableColumn id="5" name="Permission(s)"/>
    <x:tableColumn id="6" name="Capability"/>
    <x:tableColumn id="7" name="Preconditions"/>
    <x:tableColumn id="8" name="Happy path"/>
    <x:tableColumn id="9" name="Validation / conflict"/>
    <x:tableColumn id="10" name="Denied / disabled"/>
    <x:tableColumn id="11" name="State handling"/>
    <x:tableColumn id="12" name="Viewports"/>
    <x:tableColumn id="13" name="E2E case"/>
    <x:tableColumn id="14" name="Manual case"/>
    <x:tableColumn id="15" name="Status"/>
    <x:tableColumn id="16" name="Evidence"/>
  </x:tableColumns>
  <x:tableStyleInfo name="TableStyleMedium2" showFirstColumn="0" showLastColumn="0" showRowStripes="1" showColumnStripes="0"/>
</x:table>
</file>

<file path=xl/tables/table15.xml><?xml version="1.0" encoding="utf-8"?>
<x:table xmlns:x="http://schemas.openxmlformats.org/spreadsheetml/2006/main" id="15" name="T_ExistingAutomatedCover" displayName="T_ExistingAutomatedCover" ref="A5:H37" headerRowCount="1" totalsRowCount="0" totalsRowShown="0">
  <x:tableColumns count="8">
    <x:tableColumn id="1" name="ID"/>
    <x:tableColumn id="2" name="Layer"/>
    <x:tableColumn id="3" name="Scope"/>
    <x:tableColumn id="4" name="Runner"/>
    <x:tableColumn id="5" name="Count"/>
    <x:tableColumn id="6" name="Status"/>
    <x:tableColumn id="7" name="Evidence"/>
    <x:tableColumn id="8" name="Notes"/>
  </x:tableColumns>
  <x:tableStyleInfo name="TableStyleMedium2" showFirstColumn="0" showLastColumn="0" showRowStripes="1" showColumnStripes="0"/>
</x:table>
</file>

<file path=xl/tables/table16.xml><?xml version="1.0" encoding="utf-8"?>
<x:table xmlns:x="http://schemas.openxmlformats.org/spreadsheetml/2006/main" id="16" name="T_E2EandManualCases" displayName="T_E2EandManualCases" ref="A5:J30" headerRowCount="1" totalsRowCount="0" totalsRowShown="0">
  <x:tableColumns count="10">
    <x:tableColumn id="1" name="Case ID"/>
    <x:tableColumn id="2" name="Persona"/>
    <x:tableColumn id="3" name="Journey / scenario"/>
    <x:tableColumn id="4" name="Expected result"/>
    <x:tableColumn id="5" name="Viewport / layer"/>
    <x:tableColumn id="6" name="Priority"/>
    <x:tableColumn id="7" name="Run identifier"/>
    <x:tableColumn id="8" name="Status"/>
    <x:tableColumn id="9" name="Tester"/>
    <x:tableColumn id="10" name="Evidence"/>
  </x:tableColumns>
  <x:tableStyleInfo name="TableStyleMedium2" showFirstColumn="0" showLastColumn="0" showRowStripes="1" showColumnStripes="0"/>
</x:table>
</file>

<file path=xl/tables/table17.xml><?xml version="1.0" encoding="utf-8"?>
<x:table xmlns:x="http://schemas.openxmlformats.org/spreadsheetml/2006/main" id="17" name="T_MigrationEvidence" displayName="T_MigrationEvidence" ref="A5:G21" headerRowCount="1" totalsRowCount="0" totalsRowShown="0">
  <x:tableColumns count="7">
    <x:tableColumn id="1" name="ID"/>
    <x:tableColumn id="2" name="Control"/>
    <x:tableColumn id="3" name="Target / artifact"/>
    <x:tableColumn id="4" name="Evidence method"/>
    <x:tableColumn id="5" name="Status"/>
    <x:tableColumn id="6" name="Evidence location"/>
    <x:tableColumn id="7"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80d163ef7f7e46c3" /></Relationships>
</file>

<file path=xl/worksheets/_rels/sheet2.xml.rels>&#65279;<?xml version="1.0" encoding="utf-8"?><Relationships xmlns="http://schemas.openxmlformats.org/package/2006/relationships"><Relationship Type="http://schemas.openxmlformats.org/officeDocument/2006/relationships/table" Target="/xl/tables/table2.xml" Id="R048214cd0ce0492b" /></Relationships>
</file>

<file path=xl/worksheets/_rels/sheet3.xml.rels>&#65279;<?xml version="1.0" encoding="utf-8"?><Relationships xmlns="http://schemas.openxmlformats.org/package/2006/relationships"><Relationship Type="http://schemas.openxmlformats.org/officeDocument/2006/relationships/table" Target="/xl/tables/table3.xml" Id="R055e300ec01449f4" /></Relationships>
</file>

<file path=xl/worksheets/_rels/sheet4.xml.rels>&#65279;<?xml version="1.0" encoding="utf-8"?><Relationships xmlns="http://schemas.openxmlformats.org/package/2006/relationships"><Relationship Type="http://schemas.openxmlformats.org/officeDocument/2006/relationships/table" Target="/xl/tables/table4.xml" Id="R4761aab886bb4774" /></Relationships>
</file>

<file path=xl/worksheets/_rels/sheet5.xml.rels>&#65279;<?xml version="1.0" encoding="utf-8"?><Relationships xmlns="http://schemas.openxmlformats.org/package/2006/relationships"><Relationship Type="http://schemas.openxmlformats.org/officeDocument/2006/relationships/table" Target="/xl/tables/table5.xml" Id="R2f711714e8244d6c" /></Relationships>
</file>

<file path=xl/worksheets/_rels/sheet6.xml.rels>&#65279;<?xml version="1.0" encoding="utf-8"?><Relationships xmlns="http://schemas.openxmlformats.org/package/2006/relationships"><Relationship Type="http://schemas.openxmlformats.org/officeDocument/2006/relationships/table" Target="/xl/tables/table6.xml" Id="R485b03d1a6404a07" /></Relationships>
</file>

<file path=xl/worksheets/_rels/sheet7.xml.rels>&#65279;<?xml version="1.0" encoding="utf-8"?><Relationships xmlns="http://schemas.openxmlformats.org/package/2006/relationships"><Relationship Type="http://schemas.openxmlformats.org/officeDocument/2006/relationships/table" Target="/xl/tables/table7.xml" Id="R791fee9c9da24291" /></Relationships>
</file>

<file path=xl/worksheets/_rels/sheet8.xml.rels>&#65279;<?xml version="1.0" encoding="utf-8"?><Relationships xmlns="http://schemas.openxmlformats.org/package/2006/relationships"><Relationship Type="http://schemas.openxmlformats.org/officeDocument/2006/relationships/table" Target="/xl/tables/table8.xml" Id="Re8736117b0384747" /></Relationships>
</file>

<file path=xl/worksheets/_rels/sheet10.xml.rels>&#65279;<?xml version="1.0" encoding="utf-8"?><Relationships xmlns="http://schemas.openxmlformats.org/package/2006/relationships"><Relationship Type="http://schemas.openxmlformats.org/officeDocument/2006/relationships/table" Target="/xl/tables/table9.xml" Id="R8dea91063fe44199" /></Relationships>
</file>

<file path=xl/worksheets/_rels/sheet11.xml.rels>&#65279;<?xml version="1.0" encoding="utf-8"?><Relationships xmlns="http://schemas.openxmlformats.org/package/2006/relationships"><Relationship Type="http://schemas.openxmlformats.org/officeDocument/2006/relationships/table" Target="/xl/tables/table10.xml" Id="Rf4a6288f5ce84881" /></Relationships>
</file>

<file path=xl/worksheets/_rels/sheet12.xml.rels>&#65279;<?xml version="1.0" encoding="utf-8"?><Relationships xmlns="http://schemas.openxmlformats.org/package/2006/relationships"><Relationship Type="http://schemas.openxmlformats.org/officeDocument/2006/relationships/table" Target="/xl/tables/table11.xml" Id="Rc73cfbdf3c9444bb" /></Relationships>
</file>

<file path=xl/worksheets/_rels/sheet13.xml.rels>&#65279;<?xml version="1.0" encoding="utf-8"?><Relationships xmlns="http://schemas.openxmlformats.org/package/2006/relationships"><Relationship Type="http://schemas.openxmlformats.org/officeDocument/2006/relationships/table" Target="/xl/tables/table12.xml" Id="Rd74a0c28cfbe4179" /></Relationships>
</file>

<file path=xl/worksheets/_rels/sheet14.xml.rels>&#65279;<?xml version="1.0" encoding="utf-8"?><Relationships xmlns="http://schemas.openxmlformats.org/package/2006/relationships"><Relationship Type="http://schemas.openxmlformats.org/officeDocument/2006/relationships/table" Target="/xl/tables/table13.xml" Id="R1e2a6cf7e9654572" /></Relationships>
</file>

<file path=xl/worksheets/_rels/sheet15.xml.rels>&#65279;<?xml version="1.0" encoding="utf-8"?><Relationships xmlns="http://schemas.openxmlformats.org/package/2006/relationships"><Relationship Type="http://schemas.openxmlformats.org/officeDocument/2006/relationships/table" Target="/xl/tables/table14.xml" Id="R8fc2394510644089" /></Relationships>
</file>

<file path=xl/worksheets/_rels/sheet16.xml.rels>&#65279;<?xml version="1.0" encoding="utf-8"?><Relationships xmlns="http://schemas.openxmlformats.org/package/2006/relationships"><Relationship Type="http://schemas.openxmlformats.org/officeDocument/2006/relationships/table" Target="/xl/tables/table15.xml" Id="Rdeb91424f21f4b6b" /></Relationships>
</file>

<file path=xl/worksheets/_rels/sheet17.xml.rels>&#65279;<?xml version="1.0" encoding="utf-8"?><Relationships xmlns="http://schemas.openxmlformats.org/package/2006/relationships"><Relationship Type="http://schemas.openxmlformats.org/officeDocument/2006/relationships/table" Target="/xl/tables/table16.xml" Id="R38df20f0592643e3" /></Relationships>
</file>

<file path=xl/worksheets/_rels/sheet18.xml.rels>&#65279;<?xml version="1.0" encoding="utf-8"?><Relationships xmlns="http://schemas.openxmlformats.org/package/2006/relationships"><Relationship Type="http://schemas.openxmlformats.org/officeDocument/2006/relationships/table" Target="/xl/tables/table17.xml" Id="R9b24d2be10ce4e2a" /></Relationships>
</file>

<file path=xl/worksheets/sheet1.xml><?xml version="1.0" encoding="utf-8"?>
<x:worksheet xmlns:x="http://schemas.openxmlformats.org/spreadsheetml/2006/main">
  <x:sheetViews>
    <x:sheetView showGridLines="0" workbookViewId="0">
      <x:pane xSplit="3" ySplit="5" topLeftCell="D6" activePane="bottomRight" state="frozen"/>
    </x:sheetView>
  </x:sheetViews>
  <x:sheetFormatPr defaultRowHeight="15"/>
  <x:cols>
    <x:col min="1" max="1" width="14" hidden="0" customWidth="1"/>
    <x:col min="2" max="2" width="25" hidden="0" customWidth="1"/>
    <x:col min="3" max="3" width="9" hidden="0" customWidth="1"/>
    <x:col min="4" max="4" width="24" hidden="0" customWidth="1"/>
    <x:col min="5" max="5" width="31" hidden="0" customWidth="1"/>
    <x:col min="6" max="6" width="27" hidden="0" customWidth="1"/>
    <x:col min="7" max="7" width="48" hidden="0" customWidth="1"/>
    <x:col min="8" max="8" width="52" hidden="0" customWidth="1"/>
    <x:col min="9" max="9" width="23" hidden="0" customWidth="1"/>
    <x:col min="10" max="10" width="10" hidden="0" customWidth="1"/>
    <x:col min="11" max="11" width="27" hidden="0" customWidth="1"/>
    <x:col min="12" max="12" width="48" hidden="0" customWidth="1"/>
    <x:col min="13" max="13" width="48" hidden="0" customWidth="1"/>
    <x:col min="14" max="14" width="25" hidden="0" customWidth="1"/>
    <x:col min="15" max="15" width="18" hidden="0" customWidth="1"/>
    <x:col min="16" max="16" width="15" hidden="0" customWidth="1"/>
    <x:col min="17" max="17" width="15" hidden="0" customWidth="1"/>
    <x:col min="18" max="18" width="15" hidden="0" customWidth="1"/>
    <x:col min="19" max="19" width="15" hidden="0" customWidth="1"/>
    <x:col min="20" max="20" width="20" hidden="0" customWidth="1"/>
    <x:col min="21" max="21" width="25" hidden="0" customWidth="1"/>
    <x:col min="22" max="22" width="28" hidden="0" customWidth="1"/>
    <x:col min="23" max="23" width="12" hidden="0" customWidth="1"/>
    <x:col min="24" max="24" width="14" hidden="0" customWidth="1"/>
    <x:col min="25" max="25" width="12" hidden="0" customWidth="1"/>
    <x:col min="26" max="26" width="12" hidden="0" customWidth="1"/>
    <x:col min="27" max="27" width="17" hidden="0" customWidth="1"/>
    <x:col min="28" max="28" width="30" hidden="0" customWidth="1"/>
  </x:cols>
  <x:sheetData>
    <x:row r="1">
      <x:c r="A1" s="1" t="str">
        <x:v>Historical baseline — Master Tasks (2026-09-09; superseded)</x:v>
      </x:c>
      <x:c r="B1" s="1"/>
      <x:c r="C1" s="1"/>
      <x:c r="D1" s="1"/>
      <x:c r="E1" s="1"/>
      <x:c r="F1" s="1"/>
      <x:c r="G1" s="1"/>
      <x:c r="H1" s="1"/>
      <x:c r="I1" s="1"/>
      <x:c r="J1" s="1"/>
      <x:c r="K1" s="1"/>
      <x:c r="L1" s="1"/>
      <x:c r="M1" s="1"/>
      <x:c r="N1" s="1"/>
      <x:c r="O1" s="1"/>
      <x:c r="P1" s="1"/>
      <x:c r="Q1" s="1"/>
      <x:c r="R1" s="1"/>
      <x:c r="S1" s="1"/>
      <x:c r="T1" s="1"/>
      <x:c r="U1" s="1"/>
      <x:c r="V1" s="1"/>
      <x:c r="W1" s="1"/>
      <x:c r="X1" s="1"/>
      <x:c r="Y1" s="1"/>
      <x:c r="Z1" s="1"/>
      <x:c r="AA1" s="1"/>
      <x:c r="AB1" s="1"/>
    </x:row>
    <x:row r="2">
      <x:c r="A2" s="2" t="str">
        <x:v>Production fixes, module UX improvements, production-like verification, documentation and sign-off</x:v>
      </x:c>
      <x:c r="B2" s="2"/>
      <x:c r="C2" s="2"/>
      <x:c r="D2" s="2"/>
      <x:c r="E2" s="2"/>
      <x:c r="F2" s="2"/>
      <x:c r="G2" s="2"/>
      <x:c r="H2" s="2"/>
      <x:c r="I2" s="2"/>
      <x:c r="J2" s="2"/>
      <x:c r="K2" s="2"/>
      <x:c r="L2" s="2"/>
      <x:c r="M2" s="2"/>
      <x:c r="N2" s="2"/>
      <x:c r="O2" s="2"/>
      <x:c r="P2" s="2"/>
      <x:c r="Q2" s="2"/>
      <x:c r="R2" s="2"/>
      <x:c r="S2" s="2"/>
      <x:c r="T2" s="2"/>
      <x:c r="U2" s="2"/>
      <x:c r="V2" s="2"/>
      <x:c r="W2" s="2"/>
      <x:c r="X2" s="2"/>
      <x:c r="Y2" s="2"/>
      <x:c r="Z2" s="2"/>
      <x:c r="AA2" s="2"/>
      <x:c r="AB2" s="2"/>
    </x:row>
    <x:row r="3">
      <x:c r="A3" s="62" t="str">
        <x:v>Retained for traceability only. Do not execute legacy UAT, V1/V2/Lite/Legacy, environment-allowlist, or isolated-database instructions from this sheet; use the 2026-09-17 sheets and staging-safety runbook.</x:v>
      </x:c>
      <x:c r="B3" s="3"/>
      <x:c r="C3" s="3"/>
      <x:c r="D3" s="3"/>
      <x:c r="E3" s="3"/>
      <x:c r="F3" s="3"/>
      <x:c r="G3" s="3"/>
      <x:c r="H3" s="3"/>
      <x:c r="I3" s="3"/>
      <x:c r="J3" s="3"/>
      <x:c r="K3" s="3"/>
      <x:c r="L3" s="3"/>
      <x:c r="M3" s="3"/>
      <x:c r="N3" s="3"/>
      <x:c r="O3" s="3"/>
      <x:c r="P3" s="3"/>
      <x:c r="Q3" s="3"/>
      <x:c r="R3" s="3"/>
      <x:c r="S3" s="3"/>
      <x:c r="T3" s="3"/>
      <x:c r="U3" s="3"/>
      <x:c r="V3" s="3"/>
      <x:c r="W3" s="3"/>
      <x:c r="X3" s="3"/>
      <x:c r="Y3" s="3"/>
      <x:c r="Z3" s="3"/>
      <x:c r="AA3" s="3"/>
      <x:c r="AB3" s="3"/>
    </x:row>
    <x:row r="4" ht="4" customHeight="1">
      <x:c r="A4" s="4"/>
      <x:c r="B4" s="4"/>
      <x:c r="C4" s="4"/>
      <x:c r="D4" s="4"/>
      <x:c r="E4" s="4"/>
      <x:c r="F4" s="4"/>
      <x:c r="G4" s="4"/>
      <x:c r="H4" s="4"/>
      <x:c r="I4" s="4"/>
      <x:c r="J4" s="4"/>
      <x:c r="K4" s="4"/>
      <x:c r="L4" s="4"/>
      <x:c r="M4" s="4"/>
      <x:c r="N4" s="4"/>
      <x:c r="O4" s="4"/>
      <x:c r="P4" s="4"/>
      <x:c r="Q4" s="4"/>
      <x:c r="R4" s="4"/>
      <x:c r="S4" s="4"/>
      <x:c r="T4" s="4"/>
      <x:c r="U4" s="4"/>
      <x:c r="V4" s="4"/>
      <x:c r="W4" s="4"/>
      <x:c r="X4" s="4"/>
      <x:c r="Y4" s="4"/>
      <x:c r="Z4" s="4"/>
      <x:c r="AA4" s="4"/>
      <x:c r="AB4" s="4"/>
    </x:row>
    <x:row r="5" ht="36" customHeight="1">
      <x:c r="A5" s="16" t="str">
        <x:v>Task ID</x:v>
      </x:c>
      <x:c r="B5" s="17" t="str">
        <x:v>Wave</x:v>
      </x:c>
      <x:c r="C5" s="17" t="str">
        <x:v>Sequence</x:v>
      </x:c>
      <x:c r="D5" s="17" t="str">
        <x:v>Module</x:v>
      </x:c>
      <x:c r="E5" s="17" t="str">
        <x:v>Menu / Route</x:v>
      </x:c>
      <x:c r="F5" s="17" t="str">
        <x:v>Persona</x:v>
      </x:c>
      <x:c r="G5" s="17" t="str">
        <x:v>Current issue</x:v>
      </x:c>
      <x:c r="H5" s="17" t="str">
        <x:v>Planned fix / improvement</x:v>
      </x:c>
      <x:c r="I5" s="17" t="str">
        <x:v>Work type</x:v>
      </x:c>
      <x:c r="J5" s="17" t="str">
        <x:v>Priority</x:v>
      </x:c>
      <x:c r="K5" s="17" t="str">
        <x:v>Dependencies</x:v>
      </x:c>
      <x:c r="L5" s="17" t="str">
        <x:v>Acceptance criteria</x:v>
      </x:c>
      <x:c r="M5" s="17" t="str">
        <x:v>Production-like verification</x:v>
      </x:c>
      <x:c r="N5" s="17" t="str">
        <x:v>Availability</x:v>
      </x:c>
      <x:c r="O5" s="17" t="str">
        <x:v>Implementation status</x:v>
      </x:c>
      <x:c r="P5" s="17" t="str">
        <x:v>Code review</x:v>
      </x:c>
      <x:c r="Q5" s="17" t="str">
        <x:v>Automated tests</x:v>
      </x:c>
      <x:c r="R5" s="17" t="str">
        <x:v>Browser UAT</x:v>
      </x:c>
      <x:c r="S5" s="17" t="str">
        <x:v>Documentation</x:v>
      </x:c>
      <x:c r="T5" s="17" t="str">
        <x:v>Owner</x:v>
      </x:c>
      <x:c r="U5" s="17" t="str">
        <x:v>Evidence / Defect link</x:v>
      </x:c>
      <x:c r="V5" s="17" t="str">
        <x:v>Source reference</x:v>
      </x:c>
      <x:c r="W5" s="17" t="str">
        <x:v>Desktop</x:v>
      </x:c>
      <x:c r="X5" s="17" t="str">
        <x:v>Mobile / Tablet</x:v>
      </x:c>
      <x:c r="Y5" s="17" t="str">
        <x:v>Keyboard</x:v>
      </x:c>
      <x:c r="Z5" s="17" t="str">
        <x:v>200% Zoom</x:v>
      </x:c>
      <x:c r="AA5" s="17" t="str">
        <x:v>Business sign-off</x:v>
      </x:c>
      <x:c r="AB5" s="18" t="str">
        <x:v>Notes</x:v>
      </x:c>
    </x:row>
    <x:row r="6">
      <x:c r="A6" s="22" t="str">
        <x:v>CFG-001</x:v>
      </x:c>
      <x:c r="B6" s="22" t="str">
        <x:v>W0 Production gates</x:v>
      </x:c>
      <x:c r="C6" s="25" t="n">
        <x:v>1</x:v>
      </x:c>
      <x:c r="D6" s="22" t="str">
        <x:v>Feature Gates</x:v>
      </x:c>
      <x:c r="E6" s="22" t="str">
        <x:v>/me/module-capabilities</x:v>
      </x:c>
      <x:c r="F6" s="22" t="str">
        <x:v>Environment Operator, Security</x:v>
      </x:c>
      <x:c r="G6" s="22" t="str">
        <x:v>Empty Project, Finance, Payroll, File Storage, and Delivery allowlists now mean all companies, so an accidental blank value can widen scope.</x:v>
      </x:c>
      <x:c r="H6" s="22" t="str">
        <x:v>Define three verified profiles: all flags OFF, explicit pilot IDs, and empty allowlists meaning all organizations. Test empty-all only in isolated two-tenant UAT and require explicit approval before using empty values in production.</x:v>
      </x:c>
      <x:c r="I6" s="22" t="str">
        <x:v>Release hardening</x:v>
      </x:c>
      <x:c r="J6" s="22" t="str">
        <x:v>P0</x:v>
      </x:c>
      <x:c r="K6" s="22" t="str">
        <x:v>REL-001,ENV-001</x:v>
      </x:c>
      <x:c r="L6" s="22" t="str">
        <x:v>Capabilities, navigation, API guards, and worker claims agree for Tenant A and Tenant B in all three profiles. First production rollout uses explicit pilot IDs.</x:v>
      </x:c>
      <x:c r="M6" s="22" t="str">
        <x:v>Not Run - execute configuration unit cases and a real API capability/deny matrix after each controlled restart.</x:v>
      </x:c>
      <x:c r="N6" s="22" t="str">
        <x:v>Proposed control</x:v>
      </x:c>
      <x:c r="O6" s="22" t="str">
        <x:v>Ready</x:v>
      </x:c>
      <x:c r="P6" s="22" t="str">
        <x:v>Not Run</x:v>
      </x:c>
      <x:c r="Q6" s="22" t="str">
        <x:v>Not Run</x:v>
      </x:c>
      <x:c r="R6" s="22" t="str">
        <x:v>Not Run</x:v>
      </x:c>
      <x:c r="S6" s="22" t="str">
        <x:v>Backlog</x:v>
      </x:c>
      <x:c r="T6" s="28" t="str"/>
      <x:c r="U6" s="31" t="str"/>
      <x:c r="V6" s="22" t="str">
        <x:v>Current module source and production handoff</x:v>
      </x:c>
      <x:c r="W6" s="22" t="str">
        <x:v>Not Run</x:v>
      </x:c>
      <x:c r="X6" s="22" t="str">
        <x:v>Not Run</x:v>
      </x:c>
      <x:c r="Y6" s="22" t="str">
        <x:v>Not Run</x:v>
      </x:c>
      <x:c r="Z6" s="22" t="str">
        <x:v>Not Run</x:v>
      </x:c>
      <x:c r="AA6" s="22" t="str">
        <x:v>Not Run</x:v>
      </x:c>
      <x:c r="AB6" s="22" t="str"/>
    </x:row>
    <x:row r="7">
      <x:c r="A7" s="23" t="str">
        <x:v>CFG-002</x:v>
      </x:c>
      <x:c r="B7" s="23" t="str">
        <x:v>W0 Production gates</x:v>
      </x:c>
      <x:c r="C7" s="26" t="n">
        <x:v>2</x:v>
      </x:c>
      <x:c r="D7" s="23" t="str">
        <x:v>Delivery V2</x:v>
      </x:c>
      <x:c r="E7" s="23" t="str">
        <x:v>/admin/operations/delivery</x:v>
      </x:c>
      <x:c r="F7" s="23" t="str">
        <x:v>Environment Operator, Delivery Owner</x:v>
      </x:c>
      <x:c r="G7" s="23" t="str">
        <x:v>An empty Delivery allowlist makes workers claim every company although all-tenant Delivery was not separately approved.</x:v>
      </x:c>
      <x:c r="H7" s="23" t="str">
        <x:v>Keep a non-empty Company/Branch allowlist for pilot and initial production. Exercise dry-run before live provider send and require a separate business and operations approval before any empty-all activation.</x:v>
      </x:c>
      <x:c r="I7" s="23" t="str">
        <x:v>Release hardening</x:v>
      </x:c>
      <x:c r="J7" s="23" t="str">
        <x:v>P1</x:v>
      </x:c>
      <x:c r="K7" s="23" t="str">
        <x:v>CFG-001</x:v>
      </x:c>
      <x:c r="L7" s="23" t="str">
        <x:v>Only pilot rows are fanned out and claimed, Tenant B remains legacy or unclaimed, and no unapproved message is sent.</x:v>
      </x:c>
      <x:c r="M7" s="23" t="str">
        <x:v>Not Run - run claim-scope tests, two-tenant API checks, dry-run evidence, and provider-sandbox delivery checks.</x:v>
      </x:c>
      <x:c r="N7" s="23" t="str">
        <x:v>Proposed control</x:v>
      </x:c>
      <x:c r="O7" s="23" t="str">
        <x:v>Ready</x:v>
      </x:c>
      <x:c r="P7" s="23" t="str">
        <x:v>Not Run</x:v>
      </x:c>
      <x:c r="Q7" s="23" t="str">
        <x:v>Not Run</x:v>
      </x:c>
      <x:c r="R7" s="23" t="str">
        <x:v>Not Run</x:v>
      </x:c>
      <x:c r="S7" s="23" t="str">
        <x:v>Backlog</x:v>
      </x:c>
      <x:c r="T7" s="29" t="str"/>
      <x:c r="U7" s="32" t="str"/>
      <x:c r="V7" s="23" t="str">
        <x:v>Current module source and production handoff</x:v>
      </x:c>
      <x:c r="W7" s="23" t="str">
        <x:v>Not Run</x:v>
      </x:c>
      <x:c r="X7" s="23" t="str">
        <x:v>Not Run</x:v>
      </x:c>
      <x:c r="Y7" s="23" t="str">
        <x:v>Not Run</x:v>
      </x:c>
      <x:c r="Z7" s="23" t="str">
        <x:v>Not Run</x:v>
      </x:c>
      <x:c r="AA7" s="23" t="str">
        <x:v>Not Run</x:v>
      </x:c>
      <x:c r="AB7" s="23" t="str"/>
    </x:row>
    <x:row r="8">
      <x:c r="A8" s="23" t="str">
        <x:v>CFG-003</x:v>
      </x:c>
      <x:c r="B8" s="23" t="str">
        <x:v>W0 Production gates</x:v>
      </x:c>
      <x:c r="C8" s="26" t="n">
        <x:v>3</x:v>
      </x:c>
      <x:c r="D8" s="23" t="str">
        <x:v>Finance and Payroll Configuration</x:v>
      </x:c>
      <x:c r="E8" s="23" t="str">
        <x:v>/hr/payroll; /office-finance</x:v>
      </x:c>
      <x:c r="F8" s="23" t="str">
        <x:v>Environment Operator</x:v>
      </x:c>
      <x:c r="G8" s="23" t="str">
        <x:v>Payroll empty-all combined with restricted Finance silently produces a narrower runtime intersection and can surprise operators.</x:v>
      </x:c>
      <x:c r="H8" s="23" t="str">
        <x:v>Add startup validation for incompatible coverage. Recommended rule: Payroll coverage must be equal to or a subset of Finance coverage, including explicit handling of empty-all combinations.</x:v>
      </x:c>
      <x:c r="I8" s="23" t="str">
        <x:v>Release hardening</x:v>
      </x:c>
      <x:c r="J8" s="23" t="str">
        <x:v>P1</x:v>
      </x:c>
      <x:c r="K8" s="23" t="str">
        <x:v>CFG-001</x:v>
      </x:c>
      <x:c r="L8" s="23" t="str">
        <x:v>Invalid combinations fail startup with a named safe error. Valid OFF, equal, subset, and both-empty profiles start and expose correct capabilities.</x:v>
      </x:c>
      <x:c r="M8" s="23" t="str">
        <x:v>Not Run - execute the environment matrix and startup smoke for every supported combination.</x:v>
      </x:c>
      <x:c r="N8" s="23" t="str">
        <x:v>Proposed control</x:v>
      </x:c>
      <x:c r="O8" s="23" t="str">
        <x:v>Ready</x:v>
      </x:c>
      <x:c r="P8" s="23" t="str">
        <x:v>Not Run</x:v>
      </x:c>
      <x:c r="Q8" s="23" t="str">
        <x:v>Not Run</x:v>
      </x:c>
      <x:c r="R8" s="23" t="str">
        <x:v>Not Run</x:v>
      </x:c>
      <x:c r="S8" s="23" t="str">
        <x:v>Backlog</x:v>
      </x:c>
      <x:c r="T8" s="29" t="str"/>
      <x:c r="U8" s="32" t="str"/>
      <x:c r="V8" s="23" t="str">
        <x:v>Current module source and production handoff</x:v>
      </x:c>
      <x:c r="W8" s="23" t="str">
        <x:v>Not Run</x:v>
      </x:c>
      <x:c r="X8" s="23" t="str">
        <x:v>Not Run</x:v>
      </x:c>
      <x:c r="Y8" s="23" t="str">
        <x:v>Not Run</x:v>
      </x:c>
      <x:c r="Z8" s="23" t="str">
        <x:v>Not Run</x:v>
      </x:c>
      <x:c r="AA8" s="23" t="str">
        <x:v>Not Run</x:v>
      </x:c>
      <x:c r="AB8" s="23" t="str"/>
    </x:row>
    <x:row r="9">
      <x:c r="A9" s="23" t="str">
        <x:v>CFG-004</x:v>
      </x:c>
      <x:c r="B9" s="23" t="str">
        <x:v>W0 Production gates</x:v>
      </x:c>
      <x:c r="C9" s="26" t="n">
        <x:v>4</x:v>
      </x:c>
      <x:c r="D9" s="23" t="str">
        <x:v>UAT Evidence Tooling</x:v>
      </x:c>
      <x:c r="E9" s="23" t="str">
        <x:v>N/A</x:v>
      </x:c>
      <x:c r="F9" s="23" t="str">
        <x:v>QA Automation Owner</x:v>
      </x:c>
      <x:c r="G9" s="23" t="str">
        <x:v>The Phase 5 UAT evidence script treats an empty File Storage allowlist as disabled while runtime treats it as all organizations.</x:v>
      </x:c>
      <x:c r="H9" s="23" t="str">
        <x:v>Reuse the production allowlist semantics in the evidence script and cover empty, Company-wide, Branch-restricted, foreign-company, and malformed cases.</x:v>
      </x:c>
      <x:c r="I9" s="23" t="str">
        <x:v>Release hardening</x:v>
      </x:c>
      <x:c r="J9" s="23" t="str">
        <x:v>P2</x:v>
      </x:c>
      <x:c r="K9" s="23" t="str">
        <x:v>CFG-001</x:v>
      </x:c>
      <x:c r="L9" s="23" t="str">
        <x:v>Evidence-script results exactly match FileStorageFeatureService for every matrix case and cannot create a false pass or false failure.</x:v>
      </x:c>
      <x:c r="M9" s="23" t="str">
        <x:v>Not Run - run focused script cases and compare their decisions with the capability API.</x:v>
      </x:c>
      <x:c r="N9" s="23" t="str">
        <x:v>Implemented / gated</x:v>
      </x:c>
      <x:c r="O9" s="23" t="str">
        <x:v>Ready</x:v>
      </x:c>
      <x:c r="P9" s="23" t="str">
        <x:v>Not Run</x:v>
      </x:c>
      <x:c r="Q9" s="23" t="str">
        <x:v>Not Run</x:v>
      </x:c>
      <x:c r="R9" s="23" t="str">
        <x:v>Not Run</x:v>
      </x:c>
      <x:c r="S9" s="23" t="str">
        <x:v>Backlog</x:v>
      </x:c>
      <x:c r="T9" s="29" t="str"/>
      <x:c r="U9" s="32" t="str"/>
      <x:c r="V9" s="23" t="str">
        <x:v>Current module source and production handoff</x:v>
      </x:c>
      <x:c r="W9" s="23" t="str">
        <x:v>Not Run</x:v>
      </x:c>
      <x:c r="X9" s="23" t="str">
        <x:v>Not Run</x:v>
      </x:c>
      <x:c r="Y9" s="23" t="str">
        <x:v>Not Run</x:v>
      </x:c>
      <x:c r="Z9" s="23" t="str">
        <x:v>Not Run</x:v>
      </x:c>
      <x:c r="AA9" s="23" t="str">
        <x:v>Not Run</x:v>
      </x:c>
      <x:c r="AB9" s="23" t="str"/>
    </x:row>
    <x:row r="10">
      <x:c r="A10" s="23" t="str">
        <x:v>ENV-001</x:v>
      </x:c>
      <x:c r="B10" s="23" t="str">
        <x:v>W0 Production gates</x:v>
      </x:c>
      <x:c r="C10" s="26" t="n">
        <x:v>5</x:v>
      </x:c>
      <x:c r="D10" s="23" t="str">
        <x:v>Production-like UAT</x:v>
      </x:c>
      <x:c r="E10" s="23" t="str">
        <x:v>/health/live; /health/ready</x:v>
      </x:c>
      <x:c r="F10" s="23" t="str">
        <x:v>Release Owner, QA, Security</x:v>
      </x:c>
      <x:c r="G10" s="23" t="str">
        <x:v>Shared or real production data would make mutation, failure, and recovery testing unsafe.</x:v>
      </x:c>
      <x:c r="H10" s="23" t="str">
        <x:v>Provision an isolated UAT environment with NODE_ENV=production, a separate database/schema, private storage bucket or prefix, provider sandbox domain, Redis, ClamAV, two synthetic tenants, two branches, and dedicated maker, approver, employee, operator, outsider, and cross-tenant personas.</x:v>
      </x:c>
      <x:c r="I10" s="23" t="str">
        <x:v>Release hardening</x:v>
      </x:c>
      <x:c r="J10" s="23" t="str">
        <x:v>P0</x:v>
      </x:c>
      <x:c r="K10" s="23" t="str">
        <x:v>REL-001</x:v>
      </x:c>
      <x:c r="L10" s="23" t="str">
        <x:v>UAT cannot access production data or customer recipient domains. Cleanup targets only execution-scoped synthetic data. No real purge, payment, or customer email action is used for testing.</x:v>
      </x:c>
      <x:c r="M10" s="23" t="str">
        <x:v>Not Run - review topology, readiness endpoints, tenant inventory, account aliases, and data-isolation controls.</x:v>
      </x:c>
      <x:c r="N10" s="23" t="str">
        <x:v>Proposed control</x:v>
      </x:c>
      <x:c r="O10" s="23" t="str">
        <x:v>Backlog</x:v>
      </x:c>
      <x:c r="P10" s="23" t="str">
        <x:v>Not Run</x:v>
      </x:c>
      <x:c r="Q10" s="23" t="str">
        <x:v>Not Run</x:v>
      </x:c>
      <x:c r="R10" s="23" t="str">
        <x:v>Not Run</x:v>
      </x:c>
      <x:c r="S10" s="23" t="str">
        <x:v>Backlog</x:v>
      </x:c>
      <x:c r="T10" s="29" t="str"/>
      <x:c r="U10" s="32" t="str"/>
      <x:c r="V10" s="23" t="str">
        <x:v>Current module source and production handoff</x:v>
      </x:c>
      <x:c r="W10" s="23" t="str">
        <x:v>Not Run</x:v>
      </x:c>
      <x:c r="X10" s="23" t="str">
        <x:v>Not Run</x:v>
      </x:c>
      <x:c r="Y10" s="23" t="str">
        <x:v>Not Run</x:v>
      </x:c>
      <x:c r="Z10" s="23" t="str">
        <x:v>Not Run</x:v>
      </x:c>
      <x:c r="AA10" s="23" t="str">
        <x:v>Not Run</x:v>
      </x:c>
      <x:c r="AB10" s="23" t="str"/>
    </x:row>
    <x:row r="11">
      <x:c r="A11" s="23" t="str">
        <x:v>ENV-002</x:v>
      </x:c>
      <x:c r="B11" s="23" t="str">
        <x:v>W0 Production gates</x:v>
      </x:c>
      <x:c r="C11" s="26" t="n">
        <x:v>6</x:v>
      </x:c>
      <x:c r="D11" s="23" t="str">
        <x:v>Secrets and Providers</x:v>
      </x:c>
      <x:c r="E11" s="23" t="str">
        <x:v>/health/ready</x:v>
      </x:c>
      <x:c r="F11" s="23" t="str">
        <x:v>Environment Operator, Security, Operations</x:v>
      </x:c>
      <x:c r="G11" s="23" t="str">
        <x:v>Production flows require approved key material and real providers, while secrets must never enter evidence or browser-visible state.</x:v>
      </x:c>
      <x:c r="H11" s="23" t="str">
        <x:v>Configure secret-store-backed active and retained Project, Finance, Payroll, Delivery, and filename keys; private S3-compatible storage; ClamAV; Redis; ZeptoMail sandbox; and required workers. Keep mocks and bypasses off and retention purge off until approved.</x:v>
      </x:c>
      <x:c r="I11" s="23" t="str">
        <x:v>Release hardening</x:v>
      </x:c>
      <x:c r="J11" s="23" t="str">
        <x:v>P0</x:v>
      </x:c>
      <x:c r="K11" s="23" t="str">
        <x:v>ENV-001,CFG-002,CFG-003</x:v>
      </x:c>
      <x:c r="L11" s="23" t="str">
        <x:v>Startup validates every required dependency. Readiness is healthy. Only key versions are recorded; values never appear in logs, task sheets, screenshots, or browser storage.</x:v>
      </x:c>
      <x:c r="M11" s="23" t="str">
        <x:v>Not Run - run negative startup cases, provider readiness checks, and a masked configuration review.</x:v>
      </x:c>
      <x:c r="N11" s="23" t="str">
        <x:v>Proposed control</x:v>
      </x:c>
      <x:c r="O11" s="23" t="str">
        <x:v>Backlog</x:v>
      </x:c>
      <x:c r="P11" s="23" t="str">
        <x:v>Not Run</x:v>
      </x:c>
      <x:c r="Q11" s="23" t="str">
        <x:v>Not Run</x:v>
      </x:c>
      <x:c r="R11" s="23" t="str">
        <x:v>Not Run</x:v>
      </x:c>
      <x:c r="S11" s="23" t="str">
        <x:v>Backlog</x:v>
      </x:c>
      <x:c r="T11" s="29" t="str"/>
      <x:c r="U11" s="32" t="str"/>
      <x:c r="V11" s="23" t="str">
        <x:v>Current module source and production handoff</x:v>
      </x:c>
      <x:c r="W11" s="23" t="str">
        <x:v>Not Run</x:v>
      </x:c>
      <x:c r="X11" s="23" t="str">
        <x:v>Not Run</x:v>
      </x:c>
      <x:c r="Y11" s="23" t="str">
        <x:v>Not Run</x:v>
      </x:c>
      <x:c r="Z11" s="23" t="str">
        <x:v>Not Run</x:v>
      </x:c>
      <x:c r="AA11" s="23" t="str">
        <x:v>Not Run</x:v>
      </x:c>
      <x:c r="AB11" s="23" t="str"/>
    </x:row>
    <x:row r="12">
      <x:c r="A12" s="23" t="str">
        <x:v>OBS-001</x:v>
      </x:c>
      <x:c r="B12" s="23" t="str">
        <x:v>W0 Production gates</x:v>
      </x:c>
      <x:c r="C12" s="26" t="n">
        <x:v>7</x:v>
      </x:c>
      <x:c r="D12" s="23" t="str">
        <x:v>Observability</x:v>
      </x:c>
      <x:c r="E12" s="23" t="str">
        <x:v>Operations routes</x:v>
      </x:c>
      <x:c r="F12" s="23" t="str">
        <x:v>Operations, Security</x:v>
      </x:c>
      <x:c r="G12" s="23" t="str">
        <x:v>All-organization enablement and provider workers increase blast radius without a complete alerting view.</x:v>
      </x:c>
      <x:c r="H12" s="23" t="str">
        <x:v>Add safe metrics and alerts for capability denials, cross-scope attempts, Delivery retries and dead letters, scan failures, retention backlog, Project conflicts, Finance reversals, Payroll preflight/calculation failures, duplicate fencing, and Payslip age/retries.</x:v>
      </x:c>
      <x:c r="I12" s="23" t="str">
        <x:v>Release hardening</x:v>
      </x:c>
      <x:c r="J12" s="23" t="str">
        <x:v>P1</x:v>
      </x:c>
      <x:c r="K12" s="23" t="str">
        <x:v>ENV-001,ENV-002</x:v>
      </x:c>
      <x:c r="L12" s="23" t="str">
        <x:v>Dashboards expose Company-safe counts. Alerts contain only safe IDs, status, and error codes, with no PII, salary, bank details, object keys, or message content.</x:v>
      </x:c>
      <x:c r="M12" s="23" t="str">
        <x:v>Not Run - generate synthetic alerts and complete log-redaction review in isolated UAT.</x:v>
      </x:c>
      <x:c r="N12" s="23" t="str">
        <x:v>Proposed control</x:v>
      </x:c>
      <x:c r="O12" s="23" t="str">
        <x:v>Backlog</x:v>
      </x:c>
      <x:c r="P12" s="23" t="str">
        <x:v>Not Run</x:v>
      </x:c>
      <x:c r="Q12" s="23" t="str">
        <x:v>Not Run</x:v>
      </x:c>
      <x:c r="R12" s="23" t="str">
        <x:v>Not Run</x:v>
      </x:c>
      <x:c r="S12" s="23" t="str">
        <x:v>Backlog</x:v>
      </x:c>
      <x:c r="T12" s="29" t="str"/>
      <x:c r="U12" s="32" t="str"/>
      <x:c r="V12" s="23" t="str">
        <x:v>Current module source and production handoff</x:v>
      </x:c>
      <x:c r="W12" s="23" t="str">
        <x:v>Not Run</x:v>
      </x:c>
      <x:c r="X12" s="23" t="str">
        <x:v>Not Run</x:v>
      </x:c>
      <x:c r="Y12" s="23" t="str">
        <x:v>Not Run</x:v>
      </x:c>
      <x:c r="Z12" s="23" t="str">
        <x:v>Not Run</x:v>
      </x:c>
      <x:c r="AA12" s="23" t="str">
        <x:v>Not Run</x:v>
      </x:c>
      <x:c r="AB12" s="23" t="str"/>
    </x:row>
    <x:row r="13">
      <x:c r="A13" s="23" t="str">
        <x:v>REL-001</x:v>
      </x:c>
      <x:c r="B13" s="23" t="str">
        <x:v>W0 Production gates</x:v>
      </x:c>
      <x:c r="C13" s="26" t="n">
        <x:v>8</x:v>
      </x:c>
      <x:c r="D13" s="23" t="str">
        <x:v>Release Control</x:v>
      </x:c>
      <x:c r="E13" s="23" t="str">
        <x:v>N/A</x:v>
      </x:c>
      <x:c r="F13" s="23" t="str">
        <x:v>Technical Release Owner</x:v>
      </x:c>
      <x:c r="G13" s="23" t="str">
        <x:v>Evidence can be collected from different builds and become impossible to reconcile.</x:v>
      </x:c>
      <x:c r="H13" s="23" t="str">
        <x:v>Freeze one full Git SHA and deploy the frontend, API, and workers from that same SHA. Record the deployment ID and execution ID before any testing.</x:v>
      </x:c>
      <x:c r="I13" s="23" t="str">
        <x:v>Release hardening</x:v>
      </x:c>
      <x:c r="J13" s="23" t="str">
        <x:v>P0</x:v>
      </x:c>
      <x:c r="K13" s="23" t="str"/>
      <x:c r="L13" s="23" t="str">
        <x:v>Every result references one SHA, environment, and execution ID. Any code change closes the current run and requires a new frozen SHA.</x:v>
      </x:c>
      <x:c r="M13" s="23" t="str">
        <x:v>Not Run - compare Git SHA and build metadata across the frontend, API, and worker deployments.</x:v>
      </x:c>
      <x:c r="N13" s="23" t="str">
        <x:v>Proposed control</x:v>
      </x:c>
      <x:c r="O13" s="23" t="str">
        <x:v>Ready</x:v>
      </x:c>
      <x:c r="P13" s="23" t="str">
        <x:v>Not Run</x:v>
      </x:c>
      <x:c r="Q13" s="23" t="str">
        <x:v>Not Run</x:v>
      </x:c>
      <x:c r="R13" s="23" t="str">
        <x:v>Not Run</x:v>
      </x:c>
      <x:c r="S13" s="23" t="str">
        <x:v>Backlog</x:v>
      </x:c>
      <x:c r="T13" s="29" t="str"/>
      <x:c r="U13" s="32" t="str"/>
      <x:c r="V13" s="23" t="str">
        <x:v>Current module source and production handoff</x:v>
      </x:c>
      <x:c r="W13" s="23" t="str">
        <x:v>Not Run</x:v>
      </x:c>
      <x:c r="X13" s="23" t="str">
        <x:v>Not Run</x:v>
      </x:c>
      <x:c r="Y13" s="23" t="str">
        <x:v>Not Run</x:v>
      </x:c>
      <x:c r="Z13" s="23" t="str">
        <x:v>Not Run</x:v>
      </x:c>
      <x:c r="AA13" s="23" t="str">
        <x:v>Not Run</x:v>
      </x:c>
      <x:c r="AB13" s="23" t="str"/>
    </x:row>
    <x:row r="14">
      <x:c r="A14" s="23" t="str">
        <x:v>REL-002</x:v>
      </x:c>
      <x:c r="B14" s="23" t="str">
        <x:v>W0 Production gates</x:v>
      </x:c>
      <x:c r="C14" s="26" t="n">
        <x:v>9</x:v>
      </x:c>
      <x:c r="D14" s="23" t="str">
        <x:v>Database and Rollback</x:v>
      </x:c>
      <x:c r="E14" s="23" t="str">
        <x:v>N/A</x:v>
      </x:c>
      <x:c r="F14" s="23" t="str">
        <x:v>DBA, Release Owner</x:v>
      </x:c>
      <x:c r="G14" s="23" t="str">
        <x:v>A code rollback alone cannot undo migrated data or immutable Finance, Payroll, and Project history.</x:v>
      </x:c>
      <x:c r="H14" s="23" t="str">
        <x:v>Rehearse backup, from-zero restore, and production-like upgrade/restore on disposable PostgreSQL. Define flag-off, worker-stop, code rollback, and forward-fix paths. Never drop immutable history after live traffic.</x:v>
      </x:c>
      <x:c r="I14" s="23" t="str">
        <x:v>Release hardening</x:v>
      </x:c>
      <x:c r="J14" s="23" t="str">
        <x:v>P0</x:v>
      </x:c>
      <x:c r="K14" s="23" t="str">
        <x:v>REL-001,ENV-001</x:v>
      </x:c>
      <x:c r="L14" s="23" t="str">
        <x:v>Backup ID, restore evidence, schema verification, and the rollback decision tree are approved. Every command targets only a validated disposable UAT resource.</x:v>
      </x:c>
      <x:c r="M14" s="23" t="str">
        <x:v>Not Run - perform a disposable backup/restore rehearsal and post-restore reconciliation; do not run destructive rollback tests in production.</x:v>
      </x:c>
      <x:c r="N14" s="23" t="str">
        <x:v>Proposed control</x:v>
      </x:c>
      <x:c r="O14" s="23" t="str">
        <x:v>Backlog</x:v>
      </x:c>
      <x:c r="P14" s="23" t="str">
        <x:v>Not Run</x:v>
      </x:c>
      <x:c r="Q14" s="23" t="str">
        <x:v>Not Run</x:v>
      </x:c>
      <x:c r="R14" s="23" t="str">
        <x:v>Not Run</x:v>
      </x:c>
      <x:c r="S14" s="23" t="str">
        <x:v>Backlog</x:v>
      </x:c>
      <x:c r="T14" s="29" t="str"/>
      <x:c r="U14" s="32" t="str"/>
      <x:c r="V14" s="23" t="str">
        <x:v>Current module source and production handoff</x:v>
      </x:c>
      <x:c r="W14" s="23" t="str">
        <x:v>Not Run</x:v>
      </x:c>
      <x:c r="X14" s="23" t="str">
        <x:v>Not Run</x:v>
      </x:c>
      <x:c r="Y14" s="23" t="str">
        <x:v>Not Run</x:v>
      </x:c>
      <x:c r="Z14" s="23" t="str">
        <x:v>Not Run</x:v>
      </x:c>
      <x:c r="AA14" s="23" t="str">
        <x:v>Not Run</x:v>
      </x:c>
      <x:c r="AB14" s="23" t="str"/>
    </x:row>
    <x:row r="15">
      <x:c r="A15" s="23" t="str">
        <x:v>W0-01</x:v>
      </x:c>
      <x:c r="B15" s="23" t="str">
        <x:v>W0 Production gates</x:v>
      </x:c>
      <x:c r="C15" s="26" t="n">
        <x:v>10</x:v>
      </x:c>
      <x:c r="D15" s="23" t="str">
        <x:v>Release configuration</x:v>
      </x:c>
      <x:c r="E15" s="23" t="str">
        <x:v>Backend startup and /me/module-capabilities</x:v>
      </x:c>
      <x:c r="F15" s="23" t="str">
        <x:v>Release engineer</x:v>
      </x:c>
      <x:c r="G15" s="23" t="str">
        <x:v>There is no single recorded matrix proving flag, allowlist, dependency, Company, and Branch behaviour under production settings.</x:v>
      </x:c>
      <x:c r="H15" s="23" t="str">
        <x:v>Create a sanitized production-equivalent configuration matrix and freeze the commit and configuration version used for verification.</x:v>
      </x:c>
      <x:c r="I15" s="23" t="str">
        <x:v>Release hardening</x:v>
      </x:c>
      <x:c r="J15" s="23" t="str">
        <x:v>P1</x:v>
      </x:c>
      <x:c r="K15" s="23" t="str"/>
      <x:c r="L15" s="23" t="str">
        <x:v>Every enabled module records flag state, empty and non-empty allowlist meaning, dependencies, target scopes, worker or provider state, and expected capability result.</x:v>
      </x:c>
      <x:c r="M15" s="23" t="str">
        <x:v>Start the backend with NODE_ENV=production against an isolated UAT environment and capture validation and capability evidence; do not run destructive testing against production data.</x:v>
      </x:c>
      <x:c r="N15" s="23" t="str">
        <x:v>Implemented / improvement needed</x:v>
      </x:c>
      <x:c r="O15" s="23" t="str">
        <x:v>Backlog</x:v>
      </x:c>
      <x:c r="P15" s="23" t="str">
        <x:v>Not Run</x:v>
      </x:c>
      <x:c r="Q15" s="23" t="str">
        <x:v>Not Run</x:v>
      </x:c>
      <x:c r="R15" s="23" t="str">
        <x:v>Not Run</x:v>
      </x:c>
      <x:c r="S15" s="23" t="str">
        <x:v>Backlog</x:v>
      </x:c>
      <x:c r="T15" s="29" t="str"/>
      <x:c r="U15" s="32" t="str"/>
      <x:c r="V15" s="23" t="str">
        <x:v>Recent code review and current source</x:v>
      </x:c>
      <x:c r="W15" s="23" t="str">
        <x:v>Not Run</x:v>
      </x:c>
      <x:c r="X15" s="23" t="str">
        <x:v>Not Run</x:v>
      </x:c>
      <x:c r="Y15" s="23" t="str">
        <x:v>Not Run</x:v>
      </x:c>
      <x:c r="Z15" s="23" t="str">
        <x:v>Not Run</x:v>
      </x:c>
      <x:c r="AA15" s="23" t="str">
        <x:v>Not Run</x:v>
      </x:c>
      <x:c r="AB15" s="23" t="str"/>
    </x:row>
    <x:row r="16">
      <x:c r="A16" s="23" t="str">
        <x:v>W0-02</x:v>
      </x:c>
      <x:c r="B16" s="23" t="str">
        <x:v>W0 Production gates</x:v>
      </x:c>
      <x:c r="C16" s="26" t="n">
        <x:v>11</x:v>
      </x:c>
      <x:c r="D16" s="23" t="str">
        <x:v>Delivery V2</x:v>
      </x:c>
      <x:c r="E16" s="23" t="str">
        <x:v>Operations &gt; Delivery Queue; /admin/operations/delivery; worker claim path</x:v>
      </x:c>
      <x:c r="F16" s="23" t="str">
        <x:v>Platform operator</x:v>
      </x:c>
      <x:c r="G16" s="23" t="str">
        <x:v>Bugbot 1: An empty Delivery allowlist now claims live messages for all companies and has no dry-run entry.</x:v>
      </x:c>
      <x:c r="H16" s="23" t="str">
        <x:v>Keep Delivery fail-closed with an empty allowlist unless all-organization Delivery is separately approved, and require explicit scoped or dry-run entries for production-level UAT.</x:v>
      </x:c>
      <x:c r="I16" s="23" t="str">
        <x:v>Release hardening</x:v>
      </x:c>
      <x:c r="J16" s="23" t="str">
        <x:v>P1</x:v>
      </x:c>
      <x:c r="K16" s="23" t="str">
        <x:v>W0-01</x:v>
      </x:c>
      <x:c r="L16" s="23" t="str">
        <x:v>An empty allowlist cannot send live messages, explicit pilot entries are honoured, and unlisted Companies and Branches are not claimed.</x:v>
      </x:c>
      <x:c r="M16" s="23" t="str">
        <x:v>Run environment tests, claim-service integration tests, a two-company isolation test, and provider dry-run UAT.</x:v>
      </x:c>
      <x:c r="N16" s="23" t="str">
        <x:v>Implemented / improvement needed</x:v>
      </x:c>
      <x:c r="O16" s="23" t="str">
        <x:v>Backlog</x:v>
      </x:c>
      <x:c r="P16" s="23" t="str">
        <x:v>Not Run</x:v>
      </x:c>
      <x:c r="Q16" s="23" t="str">
        <x:v>Not Run</x:v>
      </x:c>
      <x:c r="R16" s="23" t="str">
        <x:v>Not Run</x:v>
      </x:c>
      <x:c r="S16" s="23" t="str">
        <x:v>Backlog</x:v>
      </x:c>
      <x:c r="T16" s="29" t="str"/>
      <x:c r="U16" s="32" t="str"/>
      <x:c r="V16" s="23" t="str">
        <x:v>Recent code review and current source</x:v>
      </x:c>
      <x:c r="W16" s="23" t="str">
        <x:v>Not Run</x:v>
      </x:c>
      <x:c r="X16" s="23" t="str">
        <x:v>Not Run</x:v>
      </x:c>
      <x:c r="Y16" s="23" t="str">
        <x:v>Not Run</x:v>
      </x:c>
      <x:c r="Z16" s="23" t="str">
        <x:v>Not Run</x:v>
      </x:c>
      <x:c r="AA16" s="23" t="str">
        <x:v>Not Run</x:v>
      </x:c>
      <x:c r="AB16" s="23" t="str"/>
    </x:row>
    <x:row r="17">
      <x:c r="A17" s="23" t="str">
        <x:v>W0-03</x:v>
      </x:c>
      <x:c r="B17" s="23" t="str">
        <x:v>W0 Production gates</x:v>
      </x:c>
      <x:c r="C17" s="26" t="n">
        <x:v>12</x:v>
      </x:c>
      <x:c r="D17" s="23" t="str">
        <x:v>Designations and Onboarding</x:v>
      </x:c>
      <x:c r="E17" s="23" t="str">
        <x:v>/administration/designations; /hr/onboarding-templates; POST /designations</x:v>
      </x:c>
      <x:c r="F17" s="23" t="str">
        <x:v>Organization administrator and HR Onboarding manager</x:v>
      </x:c>
      <x:c r="G17" s="23" t="str">
        <x:v>Bugbot 2: Onboarding users see Create Designation although designation creation requires organization.structure.manage.</x:v>
      </x:c>
      <x:c r="H17" s="23" t="str">
        <x:v>Approve one authorization contract: either require both permissions everywhere or expose a narrowly scoped composite command with the intended HR authorization.</x:v>
      </x:c>
      <x:c r="I17" s="23" t="str">
        <x:v>Release hardening</x:v>
      </x:c>
      <x:c r="J17" s="23" t="str">
        <x:v>P1</x:v>
      </x:c>
      <x:c r="K17" s="23" t="str">
        <x:v>W0-01</x:v>
      </x:c>
      <x:c r="L17" s="23" t="str">
        <x:v>Button visibility, page guard, and API authorization match; unsupported personas receive neither the action nor a partially usable page.</x:v>
      </x:c>
      <x:c r="M17" s="23" t="str">
        <x:v>Run API and browser checks for structure manager, onboarding manager, combined role, and read-only role.</x:v>
      </x:c>
      <x:c r="N17" s="23" t="str">
        <x:v>Implemented / improvement needed</x:v>
      </x:c>
      <x:c r="O17" s="23" t="str">
        <x:v>Backlog</x:v>
      </x:c>
      <x:c r="P17" s="23" t="str">
        <x:v>Not Run</x:v>
      </x:c>
      <x:c r="Q17" s="23" t="str">
        <x:v>Not Run</x:v>
      </x:c>
      <x:c r="R17" s="23" t="str">
        <x:v>Not Run</x:v>
      </x:c>
      <x:c r="S17" s="23" t="str">
        <x:v>Backlog</x:v>
      </x:c>
      <x:c r="T17" s="29" t="str"/>
      <x:c r="U17" s="32" t="str"/>
      <x:c r="V17" s="23" t="str">
        <x:v>Recent code review and current source</x:v>
      </x:c>
      <x:c r="W17" s="23" t="str">
        <x:v>Not Run</x:v>
      </x:c>
      <x:c r="X17" s="23" t="str">
        <x:v>Not Run</x:v>
      </x:c>
      <x:c r="Y17" s="23" t="str">
        <x:v>Not Run</x:v>
      </x:c>
      <x:c r="Z17" s="23" t="str">
        <x:v>Not Run</x:v>
      </x:c>
      <x:c r="AA17" s="23" t="str">
        <x:v>Not Run</x:v>
      </x:c>
      <x:c r="AB17" s="23" t="str"/>
    </x:row>
    <x:row r="18">
      <x:c r="A18" s="23" t="str">
        <x:v>W0-04</x:v>
      </x:c>
      <x:c r="B18" s="23" t="str">
        <x:v>W0 Production gates</x:v>
      </x:c>
      <x:c r="C18" s="26" t="n">
        <x:v>13</x:v>
      </x:c>
      <x:c r="D18" s="23" t="str">
        <x:v>Onboarding feature gate</x:v>
      </x:c>
      <x:c r="E18" s="23" t="str">
        <x:v>POST /designations/:designationId/departments</x:v>
      </x:c>
      <x:c r="F18" s="23" t="str">
        <x:v>HR administrator</x:v>
      </x:c>
      <x:c r="G18" s="23" t="str">
        <x:v>Bugbot 3: The onboarding option and backend linking path can create templates outside disabled or non-allowlisted scopes.</x:v>
      </x:c>
      <x:c r="H18" s="23" t="str">
        <x:v>Call OnboardingFeatureGateService server-side using the resolved Company and Branch, and hide the option when the capability is unavailable.</x:v>
      </x:c>
      <x:c r="I18" s="23" t="str">
        <x:v>Release hardening</x:v>
      </x:c>
      <x:c r="J18" s="23" t="str">
        <x:v>P1</x:v>
      </x:c>
      <x:c r="K18" s="23" t="str">
        <x:v>W0-01,W0-03</x:v>
      </x:c>
      <x:c r="L18" s="23" t="str">
        <x:v>Disabled or unavailable scopes cannot create a template, version, scope, or department slice; enabled empty-allowlist scopes work for all valid Companies.</x:v>
      </x:c>
      <x:c r="M18" s="23" t="str">
        <x:v>Run flag-off, empty-global, Company-restricted, Branch-restricted, and cross-tenant API and browser tests.</x:v>
      </x:c>
      <x:c r="N18" s="23" t="str">
        <x:v>Implemented / gated</x:v>
      </x:c>
      <x:c r="O18" s="23" t="str">
        <x:v>Backlog</x:v>
      </x:c>
      <x:c r="P18" s="23" t="str">
        <x:v>Not Run</x:v>
      </x:c>
      <x:c r="Q18" s="23" t="str">
        <x:v>Not Run</x:v>
      </x:c>
      <x:c r="R18" s="23" t="str">
        <x:v>Not Run</x:v>
      </x:c>
      <x:c r="S18" s="23" t="str">
        <x:v>Backlog</x:v>
      </x:c>
      <x:c r="T18" s="29" t="str"/>
      <x:c r="U18" s="32" t="str"/>
      <x:c r="V18" s="23" t="str">
        <x:v>Recent code review and current source</x:v>
      </x:c>
      <x:c r="W18" s="23" t="str">
        <x:v>Not Run</x:v>
      </x:c>
      <x:c r="X18" s="23" t="str">
        <x:v>Not Run</x:v>
      </x:c>
      <x:c r="Y18" s="23" t="str">
        <x:v>Not Run</x:v>
      </x:c>
      <x:c r="Z18" s="23" t="str">
        <x:v>Not Run</x:v>
      </x:c>
      <x:c r="AA18" s="23" t="str">
        <x:v>Not Run</x:v>
      </x:c>
      <x:c r="AB18" s="23" t="str"/>
    </x:row>
    <x:row r="19">
      <x:c r="A19" s="23" t="str">
        <x:v>W0-05</x:v>
      </x:c>
      <x:c r="B19" s="23" t="str">
        <x:v>W0 Production gates</x:v>
      </x:c>
      <x:c r="C19" s="26" t="n">
        <x:v>14</x:v>
      </x:c>
      <x:c r="D19" s="23" t="str">
        <x:v>Designations and Onboarding</x:v>
      </x:c>
      <x:c r="E19" s="23" t="str">
        <x:v>New composite backend command for the Designation create page</x:v>
      </x:c>
      <x:c r="F19" s="23" t="str">
        <x:v>Organization or HR administrator</x:v>
      </x:c>
      <x:c r="G19" s="23" t="str">
        <x:v>Bugbot 4: Designation creation and onboarding linkage are separate requests, so a linking failure leaves a partially created record.</x:v>
      </x:c>
      <x:c r="H19" s="23" t="str">
        <x:v>Implement one backend transaction that creates the Designation and optional template and first department checklist, with idempotency protection.</x:v>
      </x:c>
      <x:c r="I19" s="23" t="str">
        <x:v>Release hardening</x:v>
      </x:c>
      <x:c r="J19" s="23" t="str">
        <x:v>P2</x:v>
      </x:c>
      <x:c r="K19" s="23" t="str">
        <x:v>W0-03,W0-04</x:v>
      </x:c>
      <x:c r="L19" s="23" t="str">
        <x:v>The complete operation commits once or rolls back fully, a safe retry does not duplicate records, and the response identifies the created destination.</x:v>
      </x:c>
      <x:c r="M19" s="23" t="str">
        <x:v>Run transaction rollback, conflict, timeout and retry, and duplicate-command integration tests.</x:v>
      </x:c>
      <x:c r="N19" s="23" t="str">
        <x:v>Partial</x:v>
      </x:c>
      <x:c r="O19" s="23" t="str">
        <x:v>Backlog</x:v>
      </x:c>
      <x:c r="P19" s="23" t="str">
        <x:v>Not Run</x:v>
      </x:c>
      <x:c r="Q19" s="23" t="str">
        <x:v>Not Run</x:v>
      </x:c>
      <x:c r="R19" s="23" t="str">
        <x:v>Not Run</x:v>
      </x:c>
      <x:c r="S19" s="23" t="str">
        <x:v>Backlog</x:v>
      </x:c>
      <x:c r="T19" s="29" t="str"/>
      <x:c r="U19" s="32" t="str"/>
      <x:c r="V19" s="23" t="str">
        <x:v>Recent code review and current source</x:v>
      </x:c>
      <x:c r="W19" s="23" t="str">
        <x:v>Not Run</x:v>
      </x:c>
      <x:c r="X19" s="23" t="str">
        <x:v>Not Run</x:v>
      </x:c>
      <x:c r="Y19" s="23" t="str">
        <x:v>Not Run</x:v>
      </x:c>
      <x:c r="Z19" s="23" t="str">
        <x:v>Not Run</x:v>
      </x:c>
      <x:c r="AA19" s="23" t="str">
        <x:v>Not Run</x:v>
      </x:c>
      <x:c r="AB19" s="23" t="str"/>
    </x:row>
    <x:row r="20">
      <x:c r="A20" s="23" t="str">
        <x:v>W0-06</x:v>
      </x:c>
      <x:c r="B20" s="23" t="str">
        <x:v>W0 Production gates</x:v>
      </x:c>
      <x:c r="C20" s="26" t="n">
        <x:v>15</x:v>
      </x:c>
      <x:c r="D20" s="23" t="str">
        <x:v>Designation onboarding</x:v>
      </x:c>
      <x:c r="E20" s="23" t="str">
        <x:v>Designation create API and department lookup</x:v>
      </x:c>
      <x:c r="F20" s="23" t="str">
        <x:v>Multi-Branch HR administrator</x:v>
      </x:c>
      <x:c r="G20" s="23" t="str">
        <x:v>Bugbot 5: Company-wide department choices are ambiguous although the first selection fixes the template version to one Branch.</x:v>
      </x:c>
      <x:c r="H20" s="23" t="str">
        <x:v>Require or derive an explicit Branch before department selection and validate Company, Branch, and Designation consistency server-side.</x:v>
      </x:c>
      <x:c r="I20" s="23" t="str">
        <x:v>Release hardening</x:v>
      </x:c>
      <x:c r="J20" s="23" t="str">
        <x:v>P2</x:v>
      </x:c>
      <x:c r="K20" s="23" t="str">
        <x:v>W0-04,W0-05</x:v>
      </x:c>
      <x:c r="L20" s="23" t="str">
        <x:v>The API rejects mismatched Branches before writing and returns a clear business error; same-named departments remain distinguishable.</x:v>
      </x:c>
      <x:c r="M20" s="23" t="str">
        <x:v>Run two-Branch integration tests with duplicate department names or codes and cross-Branch negative cases.</x:v>
      </x:c>
      <x:c r="N20" s="23" t="str">
        <x:v>Implemented / improvement needed</x:v>
      </x:c>
      <x:c r="O20" s="23" t="str">
        <x:v>Backlog</x:v>
      </x:c>
      <x:c r="P20" s="23" t="str">
        <x:v>Not Run</x:v>
      </x:c>
      <x:c r="Q20" s="23" t="str">
        <x:v>Not Run</x:v>
      </x:c>
      <x:c r="R20" s="23" t="str">
        <x:v>Not Run</x:v>
      </x:c>
      <x:c r="S20" s="23" t="str">
        <x:v>Backlog</x:v>
      </x:c>
      <x:c r="T20" s="29" t="str"/>
      <x:c r="U20" s="32" t="str"/>
      <x:c r="V20" s="23" t="str">
        <x:v>Recent code review and current source</x:v>
      </x:c>
      <x:c r="W20" s="23" t="str">
        <x:v>Not Run</x:v>
      </x:c>
      <x:c r="X20" s="23" t="str">
        <x:v>Not Run</x:v>
      </x:c>
      <x:c r="Y20" s="23" t="str">
        <x:v>Not Run</x:v>
      </x:c>
      <x:c r="Z20" s="23" t="str">
        <x:v>Not Run</x:v>
      </x:c>
      <x:c r="AA20" s="23" t="str">
        <x:v>Not Run</x:v>
      </x:c>
      <x:c r="AB20" s="23" t="str"/>
    </x:row>
    <x:row r="21">
      <x:c r="A21" s="23" t="str">
        <x:v>W0-07</x:v>
      </x:c>
      <x:c r="B21" s="23" t="str">
        <x:v>W0 Production gates</x:v>
      </x:c>
      <x:c r="C21" s="26" t="n">
        <x:v>16</x:v>
      </x:c>
      <x:c r="D21" s="23" t="str">
        <x:v>Designations and Onboarding Templates</x:v>
      </x:c>
      <x:c r="E21" s="23" t="str">
        <x:v>/administration/designations/new; /hr/onboarding-templates</x:v>
      </x:c>
      <x:c r="F21" s="23" t="str">
        <x:v>HR administrator</x:v>
      </x:c>
      <x:c r="G21" s="23" t="str">
        <x:v>Bugbot 6: An inactive Designation can be linked successfully but disappears from the active-only onboarding workspace.</x:v>
      </x:c>
      <x:c r="H21" s="23" t="str">
        <x:v>Prevent onboarding linkage while inactive, or expose inactive linked templates with a clear inactive state; the recommended rule is to prevent and explain.</x:v>
      </x:c>
      <x:c r="I21" s="23" t="str">
        <x:v>Release hardening</x:v>
      </x:c>
      <x:c r="J21" s="23" t="str">
        <x:v>P2</x:v>
      </x:c>
      <x:c r="K21" s="23" t="str">
        <x:v>W0-05</x:v>
      </x:c>
      <x:c r="L21" s="23" t="str">
        <x:v>No successful action produces an unreachable onboarding template and later activation has a documented path.</x:v>
      </x:c>
      <x:c r="M21" s="23" t="str">
        <x:v>Run active and inactive create cases plus the activation-transition API and browser cases.</x:v>
      </x:c>
      <x:c r="N21" s="23" t="str">
        <x:v>Implemented / improvement needed</x:v>
      </x:c>
      <x:c r="O21" s="23" t="str">
        <x:v>Backlog</x:v>
      </x:c>
      <x:c r="P21" s="23" t="str">
        <x:v>Not Run</x:v>
      </x:c>
      <x:c r="Q21" s="23" t="str">
        <x:v>Not Run</x:v>
      </x:c>
      <x:c r="R21" s="23" t="str">
        <x:v>Not Run</x:v>
      </x:c>
      <x:c r="S21" s="23" t="str">
        <x:v>Backlog</x:v>
      </x:c>
      <x:c r="T21" s="29" t="str"/>
      <x:c r="U21" s="32" t="str"/>
      <x:c r="V21" s="23" t="str">
        <x:v>Recent code review and current source</x:v>
      </x:c>
      <x:c r="W21" s="23" t="str">
        <x:v>Not Run</x:v>
      </x:c>
      <x:c r="X21" s="23" t="str">
        <x:v>Not Run</x:v>
      </x:c>
      <x:c r="Y21" s="23" t="str">
        <x:v>Not Run</x:v>
      </x:c>
      <x:c r="Z21" s="23" t="str">
        <x:v>Not Run</x:v>
      </x:c>
      <x:c r="AA21" s="23" t="str">
        <x:v>Not Run</x:v>
      </x:c>
      <x:c r="AB21" s="23" t="str"/>
    </x:row>
    <x:row r="22">
      <x:c r="A22" s="23" t="str">
        <x:v>W0-08</x:v>
      </x:c>
      <x:c r="B22" s="23" t="str">
        <x:v>W0 Production gates</x:v>
      </x:c>
      <x:c r="C22" s="26" t="n">
        <x:v>17</x:v>
      </x:c>
      <x:c r="D22" s="23" t="str">
        <x:v>Feature configuration</x:v>
      </x:c>
      <x:c r="E22" s="23" t="str">
        <x:v>Backend startup; /hr/payroll; /office-finance</x:v>
      </x:c>
      <x:c r="F22" s="23" t="str">
        <x:v>Release engineer and Payroll administrator</x:v>
      </x:c>
      <x:c r="G22" s="23" t="str">
        <x:v>Bugbot 7: An empty Payroll allowlist means all Companies, but a restricted Finance allowlist silently narrows Payroll at runtime without startup rejection.</x:v>
      </x:c>
      <x:c r="H22" s="23" t="str">
        <x:v>Define and validate set semantics for universal versus restricted scopes, rejecting any Payroll scope not covered by Finance.</x:v>
      </x:c>
      <x:c r="I22" s="23" t="str">
        <x:v>Release hardening</x:v>
      </x:c>
      <x:c r="J22" s="23" t="str">
        <x:v>P2</x:v>
      </x:c>
      <x:c r="K22" s="23" t="str">
        <x:v>W0-01</x:v>
      </x:c>
      <x:c r="L22" s="23" t="str">
        <x:v>Invalid universal and restricted combinations fail startup with an actionable message; valid combinations match /me/module-capabilities.</x:v>
      </x:c>
      <x:c r="M22" s="23" t="str">
        <x:v>Run the full off, empty, and restricted configuration permutation suite plus two-company capability UAT.</x:v>
      </x:c>
      <x:c r="N22" s="23" t="str">
        <x:v>Implemented / improvement needed</x:v>
      </x:c>
      <x:c r="O22" s="23" t="str">
        <x:v>Backlog</x:v>
      </x:c>
      <x:c r="P22" s="23" t="str">
        <x:v>Not Run</x:v>
      </x:c>
      <x:c r="Q22" s="23" t="str">
        <x:v>Not Run</x:v>
      </x:c>
      <x:c r="R22" s="23" t="str">
        <x:v>Not Run</x:v>
      </x:c>
      <x:c r="S22" s="23" t="str">
        <x:v>Backlog</x:v>
      </x:c>
      <x:c r="T22" s="29" t="str"/>
      <x:c r="U22" s="32" t="str"/>
      <x:c r="V22" s="23" t="str">
        <x:v>Recent code review and current source</x:v>
      </x:c>
      <x:c r="W22" s="23" t="str">
        <x:v>Not Run</x:v>
      </x:c>
      <x:c r="X22" s="23" t="str">
        <x:v>Not Run</x:v>
      </x:c>
      <x:c r="Y22" s="23" t="str">
        <x:v>Not Run</x:v>
      </x:c>
      <x:c r="Z22" s="23" t="str">
        <x:v>Not Run</x:v>
      </x:c>
      <x:c r="AA22" s="23" t="str">
        <x:v>Not Run</x:v>
      </x:c>
      <x:c r="AB22" s="23" t="str"/>
    </x:row>
    <x:row r="23">
      <x:c r="A23" s="23" t="str">
        <x:v>W0-09</x:v>
      </x:c>
      <x:c r="B23" s="23" t="str">
        <x:v>W0 Production gates</x:v>
      </x:c>
      <x:c r="C23" s="26" t="n">
        <x:v>18</x:v>
      </x:c>
      <x:c r="D23" s="23" t="str">
        <x:v>Onboarding reminder worker</x:v>
      </x:c>
      <x:c r="E23" s="23" t="str">
        <x:v>Background job</x:v>
      </x:c>
      <x:c r="F23" s="23" t="str">
        <x:v>Platform operator and task assignee</x:v>
      </x:c>
      <x:c r="G23" s="23" t="str">
        <x:v>Bugbot 8: The job always selects an unordered first 200 due tasks, allowing later tenants or tasks to starve.</x:v>
      </x:c>
      <x:c r="H23" s="23" t="str">
        <x:v>Use deterministic keyset paging or bounded batches with stable ordering and deduplication.</x:v>
      </x:c>
      <x:c r="I23" s="23" t="str">
        <x:v>Release hardening</x:v>
      </x:c>
      <x:c r="J23" s="23" t="str">
        <x:v>P2</x:v>
      </x:c>
      <x:c r="K23" s="23" t="str">
        <x:v>W0-01</x:v>
      </x:c>
      <x:c r="L23" s="23" t="str">
        <x:v>Every eligible record beyond 200 is eventually processed once per dedupe period, and a single tenant cannot starve others.</x:v>
      </x:c>
      <x:c r="M23" s="23" t="str">
        <x:v>Run a dataset larger than 200, multi-company fairness, rerun and idempotency, and worker interruption tests.</x:v>
      </x:c>
      <x:c r="N23" s="23" t="str">
        <x:v>Implemented / improvement needed</x:v>
      </x:c>
      <x:c r="O23" s="23" t="str">
        <x:v>Backlog</x:v>
      </x:c>
      <x:c r="P23" s="23" t="str">
        <x:v>Not Run</x:v>
      </x:c>
      <x:c r="Q23" s="23" t="str">
        <x:v>Not Run</x:v>
      </x:c>
      <x:c r="R23" s="23" t="str">
        <x:v>Not Run</x:v>
      </x:c>
      <x:c r="S23" s="23" t="str">
        <x:v>Backlog</x:v>
      </x:c>
      <x:c r="T23" s="29" t="str"/>
      <x:c r="U23" s="32" t="str"/>
      <x:c r="V23" s="23" t="str">
        <x:v>Recent code review and current source</x:v>
      </x:c>
      <x:c r="W23" s="23" t="str">
        <x:v>Not Run</x:v>
      </x:c>
      <x:c r="X23" s="23" t="str">
        <x:v>Not Run</x:v>
      </x:c>
      <x:c r="Y23" s="23" t="str">
        <x:v>Not Run</x:v>
      </x:c>
      <x:c r="Z23" s="23" t="str">
        <x:v>Not Run</x:v>
      </x:c>
      <x:c r="AA23" s="23" t="str">
        <x:v>Not Run</x:v>
      </x:c>
      <x:c r="AB23" s="23" t="str"/>
    </x:row>
    <x:row r="24">
      <x:c r="A24" s="23" t="str">
        <x:v>W0-10</x:v>
      </x:c>
      <x:c r="B24" s="23" t="str">
        <x:v>W0 Production gates</x:v>
      </x:c>
      <x:c r="C24" s="26" t="n">
        <x:v>19</x:v>
      </x:c>
      <x:c r="D24" s="23" t="str">
        <x:v>File Storage verification</x:v>
      </x:c>
      <x:c r="E24" s="23" t="str">
        <x:v>backend/scripts/uat-phase5-gate-evidence.mjs</x:v>
      </x:c>
      <x:c r="F24" s="23" t="str">
        <x:v>QA or release engineer</x:v>
      </x:c>
      <x:c r="G24" s="23" t="str">
        <x:v>Bugbot 9: The evidence script still interprets an empty allowlist as disabled although runtime treats it as all Companies.</x:v>
      </x:c>
      <x:c r="H24" s="23" t="str">
        <x:v>Reuse the production scope predicate or implement exactly the same empty-list semantics.</x:v>
      </x:c>
      <x:c r="I24" s="23" t="str">
        <x:v>Release hardening</x:v>
      </x:c>
      <x:c r="J24" s="23" t="str">
        <x:v>P2</x:v>
      </x:c>
      <x:c r="K24" s="23" t="str">
        <x:v>W0-01</x:v>
      </x:c>
      <x:c r="L24" s="23" t="str">
        <x:v>The script and runtime return identical results for flag-off, universal, Company-scoped, and Branch-scoped configurations.</x:v>
      </x:c>
      <x:c r="M24" s="23" t="str">
        <x:v>Run script unit scenarios plus real S3 and ClamAV production-equivalent UAT.</x:v>
      </x:c>
      <x:c r="N24" s="23" t="str">
        <x:v>Implemented / gated</x:v>
      </x:c>
      <x:c r="O24" s="23" t="str">
        <x:v>Backlog</x:v>
      </x:c>
      <x:c r="P24" s="23" t="str">
        <x:v>Not Run</x:v>
      </x:c>
      <x:c r="Q24" s="23" t="str">
        <x:v>Not Run</x:v>
      </x:c>
      <x:c r="R24" s="23" t="str">
        <x:v>Not Run</x:v>
      </x:c>
      <x:c r="S24" s="23" t="str">
        <x:v>Backlog</x:v>
      </x:c>
      <x:c r="T24" s="29" t="str"/>
      <x:c r="U24" s="32" t="str"/>
      <x:c r="V24" s="23" t="str">
        <x:v>Recent code review and current source</x:v>
      </x:c>
      <x:c r="W24" s="23" t="str">
        <x:v>Not Run</x:v>
      </x:c>
      <x:c r="X24" s="23" t="str">
        <x:v>Not Run</x:v>
      </x:c>
      <x:c r="Y24" s="23" t="str">
        <x:v>Not Run</x:v>
      </x:c>
      <x:c r="Z24" s="23" t="str">
        <x:v>Not Run</x:v>
      </x:c>
      <x:c r="AA24" s="23" t="str">
        <x:v>Not Run</x:v>
      </x:c>
      <x:c r="AB24" s="23" t="str"/>
    </x:row>
    <x:row r="25">
      <x:c r="A25" s="23" t="str">
        <x:v>W0-11</x:v>
      </x:c>
      <x:c r="B25" s="23" t="str">
        <x:v>W0 Production gates</x:v>
      </x:c>
      <x:c r="C25" s="26" t="n">
        <x:v>20</x:v>
      </x:c>
      <x:c r="D25" s="23" t="str">
        <x:v>Onboarding, Finance, Payroll, Projects, Assets, File Storage, and Delivery</x:v>
      </x:c>
      <x:c r="E25" s="23" t="str">
        <x:v>Environment parsing, domain gates, and /me/module-capabilities</x:v>
      </x:c>
      <x:c r="F25" s="23" t="str">
        <x:v>Release engineer and every module user</x:v>
      </x:c>
      <x:c r="G25" s="23" t="str">
        <x:v>Empty-list meaning is duplicated across validators, services, workers, and UAT scripts, creating semantic drift.</x:v>
      </x:c>
      <x:c r="H25" s="23" t="str">
        <x:v>Give each module one authoritative scope resolver and make navigation, APIs, workers, and evidence scripts consume it.</x:v>
      </x:c>
      <x:c r="I25" s="23" t="str">
        <x:v>Release hardening</x:v>
      </x:c>
      <x:c r="J25" s="23" t="str">
        <x:v>P1</x:v>
      </x:c>
      <x:c r="K25" s="23" t="str">
        <x:v>W0-02,W0-04,W0-08,W0-10</x:v>
      </x:c>
      <x:c r="L25" s="23" t="str">
        <x:v>The UI capability never advertises an API-blocked module and background workers never process a UI-disabled scope; Delivery's separately approved policy remains explicit.</x:v>
      </x:c>
      <x:c r="M25" s="23" t="str">
        <x:v>Run a contract matrix across Global, Company Group, Company, and Branch contexts, including context switching.</x:v>
      </x:c>
      <x:c r="N25" s="23" t="str">
        <x:v>Implemented / improvement needed</x:v>
      </x:c>
      <x:c r="O25" s="23" t="str">
        <x:v>Backlog</x:v>
      </x:c>
      <x:c r="P25" s="23" t="str">
        <x:v>Not Run</x:v>
      </x:c>
      <x:c r="Q25" s="23" t="str">
        <x:v>Not Run</x:v>
      </x:c>
      <x:c r="R25" s="23" t="str">
        <x:v>Not Run</x:v>
      </x:c>
      <x:c r="S25" s="23" t="str">
        <x:v>Backlog</x:v>
      </x:c>
      <x:c r="T25" s="29" t="str"/>
      <x:c r="U25" s="32" t="str"/>
      <x:c r="V25" s="23" t="str">
        <x:v>Recent code review and current source</x:v>
      </x:c>
      <x:c r="W25" s="23" t="str">
        <x:v>Not Run</x:v>
      </x:c>
      <x:c r="X25" s="23" t="str">
        <x:v>Not Run</x:v>
      </x:c>
      <x:c r="Y25" s="23" t="str">
        <x:v>Not Run</x:v>
      </x:c>
      <x:c r="Z25" s="23" t="str">
        <x:v>Not Run</x:v>
      </x:c>
      <x:c r="AA25" s="23" t="str">
        <x:v>Not Run</x:v>
      </x:c>
      <x:c r="AB25" s="23" t="str"/>
    </x:row>
    <x:row r="26">
      <x:c r="A26" s="23" t="str">
        <x:v>UX-01</x:v>
      </x:c>
      <x:c r="B26" s="23" t="str">
        <x:v>W1 Shared UX</x:v>
      </x:c>
      <x:c r="C26" s="26" t="n">
        <x:v>21</x:v>
      </x:c>
      <x:c r="D26" s="23" t="str">
        <x:v>Shared UI</x:v>
      </x:c>
      <x:c r="E26" s="23" t="str">
        <x:v>All create and edit workflows</x:v>
      </x:c>
      <x:c r="F26" s="23" t="str">
        <x:v>All users</x:v>
      </x:c>
      <x:c r="G26" s="23" t="str">
        <x:v>Major forms are placed in dialogs or sheets, limiting orientation, recovery, and deep linking.</x:v>
      </x:c>
      <x:c r="H26" s="23" t="str">
        <x:v>Use dedicated pages for multi-section create and edit flows; retain dialogs only for confirmation, approval or rejection, short assignment, and remarks.</x:v>
      </x:c>
      <x:c r="I26" s="23" t="str">
        <x:v>UX/UI and implementation</x:v>
      </x:c>
      <x:c r="J26" s="23" t="str">
        <x:v>P1</x:v>
      </x:c>
      <x:c r="K26" s="23" t="str">
        <x:v>W0-03,W0-04,W0-05</x:v>
      </x:c>
      <x:c r="L26" s="23" t="str">
        <x:v>A reviewed route inventory classifies every existing drawer or dialog without changing the business flow.</x:v>
      </x:c>
      <x:c r="M26" s="23" t="str">
        <x:v>Review navigation and browser history behaviour for representative workflows.</x:v>
      </x:c>
      <x:c r="N26" s="23" t="str">
        <x:v>Proposed control</x:v>
      </x:c>
      <x:c r="O26" s="23" t="str">
        <x:v>Backlog</x:v>
      </x:c>
      <x:c r="P26" s="23" t="str">
        <x:v>Not Run</x:v>
      </x:c>
      <x:c r="Q26" s="23" t="str">
        <x:v>Not Run</x:v>
      </x:c>
      <x:c r="R26" s="23" t="str">
        <x:v>Not Run</x:v>
      </x:c>
      <x:c r="S26" s="23" t="str">
        <x:v>Backlog</x:v>
      </x:c>
      <x:c r="T26" s="29" t="str"/>
      <x:c r="U26" s="32" t="str"/>
      <x:c r="V26" s="23" t="str">
        <x:v>Recent code review and current source</x:v>
      </x:c>
      <x:c r="W26" s="23" t="str">
        <x:v>Not Run</x:v>
      </x:c>
      <x:c r="X26" s="23" t="str">
        <x:v>Not Run</x:v>
      </x:c>
      <x:c r="Y26" s="23" t="str">
        <x:v>Not Run</x:v>
      </x:c>
      <x:c r="Z26" s="23" t="str">
        <x:v>Not Run</x:v>
      </x:c>
      <x:c r="AA26" s="23" t="str">
        <x:v>Not Run</x:v>
      </x:c>
      <x:c r="AB26" s="23" t="str"/>
    </x:row>
    <x:row r="27">
      <x:c r="A27" s="23" t="str">
        <x:v>UX-02</x:v>
      </x:c>
      <x:c r="B27" s="23" t="str">
        <x:v>W1 Shared UX</x:v>
      </x:c>
      <x:c r="C27" s="26" t="n">
        <x:v>22</x:v>
      </x:c>
      <x:c r="D27" s="23" t="str">
        <x:v>Application shell</x:v>
      </x:c>
      <x:c r="E27" s="23" t="str">
        <x:v>Sidebar</x:v>
      </x:c>
      <x:c r="F27" s="23" t="str">
        <x:v>Employee, Manager, HR, Finance, Payroll, and Admin</x:v>
      </x:c>
      <x:c r="G27" s="23" t="str">
        <x:v>The sidebar is long and mixes daily work, setup, administration, and operations; collapsed parent items open the first child without explaining the choice.</x:v>
      </x:c>
      <x:c r="H27" s="23" t="str">
        <x:v>Reorganize labels and grouping while preserving route URLs and permission and capability filtering.</x:v>
      </x:c>
      <x:c r="I27" s="23" t="str">
        <x:v>UX/UI and workflow</x:v>
      </x:c>
      <x:c r="J27" s="23" t="str">
        <x:v>P2</x:v>
      </x:c>
      <x:c r="K27" s="23" t="str">
        <x:v>W0-11</x:v>
      </x:c>
      <x:c r="L27" s="23" t="str">
        <x:v>Each persona reaches its three main tasks without unrelated configuration menus, and active state remains correct in expanded, collapsed, and mobile modes.</x:v>
      </x:c>
      <x:c r="M27" s="23" t="str">
        <x:v>Run persona navigation walkthroughs and route-match tests.</x:v>
      </x:c>
      <x:c r="N27" s="23" t="str">
        <x:v>Proposed control</x:v>
      </x:c>
      <x:c r="O27" s="23" t="str">
        <x:v>Backlog</x:v>
      </x:c>
      <x:c r="P27" s="23" t="str">
        <x:v>Not Run</x:v>
      </x:c>
      <x:c r="Q27" s="23" t="str">
        <x:v>Not Run</x:v>
      </x:c>
      <x:c r="R27" s="23" t="str">
        <x:v>Not Run</x:v>
      </x:c>
      <x:c r="S27" s="23" t="str">
        <x:v>Backlog</x:v>
      </x:c>
      <x:c r="T27" s="29" t="str"/>
      <x:c r="U27" s="32" t="str"/>
      <x:c r="V27" s="23" t="str">
        <x:v>Recent code review and current source</x:v>
      </x:c>
      <x:c r="W27" s="23" t="str">
        <x:v>Not Run</x:v>
      </x:c>
      <x:c r="X27" s="23" t="str">
        <x:v>Not Run</x:v>
      </x:c>
      <x:c r="Y27" s="23" t="str">
        <x:v>Not Run</x:v>
      </x:c>
      <x:c r="Z27" s="23" t="str">
        <x:v>Not Run</x:v>
      </x:c>
      <x:c r="AA27" s="23" t="str">
        <x:v>Not Run</x:v>
      </x:c>
      <x:c r="AB27" s="23" t="str"/>
    </x:row>
    <x:row r="28">
      <x:c r="A28" s="23" t="str">
        <x:v>UX-03</x:v>
      </x:c>
      <x:c r="B28" s="23" t="str">
        <x:v>W1 Shared UX</x:v>
      </x:c>
      <x:c r="C28" s="26" t="n">
        <x:v>23</x:v>
      </x:c>
      <x:c r="D28" s="23" t="str">
        <x:v>Application shell</x:v>
      </x:c>
      <x:c r="E28" s="23" t="str">
        <x:v>Header and new, create, edit, and detail routes</x:v>
      </x:c>
      <x:c r="F28" s="23" t="str">
        <x:v>All users</x:v>
      </x:c>
      <x:c r="G28" s="23" t="str">
        <x:v>Breadcrumbs derive only from static navigation and cannot identify specific records or create and edit states.</x:v>
      </x:c>
      <x:c r="H28" s="23" t="str">
        <x:v>Add route metadata and entity labels with safe loading fallbacks.</x:v>
      </x:c>
      <x:c r="I28" s="23" t="str">
        <x:v>UX/UI and workflow</x:v>
      </x:c>
      <x:c r="J28" s="23" t="str">
        <x:v>P2</x:v>
      </x:c>
      <x:c r="K28" s="23" t="str">
        <x:v>UX-01</x:v>
      </x:c>
      <x:c r="L28" s="23" t="str">
        <x:v>Full pages show Module, List, and Entity or Create or Edit, and every parent crumb returns to the correct list without losing safe filters.</x:v>
      </x:c>
      <x:c r="M28" s="23" t="str">
        <x:v>Run direct-load, refresh, and browser back and forward tests.</x:v>
      </x:c>
      <x:c r="N28" s="23" t="str">
        <x:v>Proposed control</x:v>
      </x:c>
      <x:c r="O28" s="23" t="str">
        <x:v>Backlog</x:v>
      </x:c>
      <x:c r="P28" s="23" t="str">
        <x:v>Not Run</x:v>
      </x:c>
      <x:c r="Q28" s="23" t="str">
        <x:v>Not Run</x:v>
      </x:c>
      <x:c r="R28" s="23" t="str">
        <x:v>Not Run</x:v>
      </x:c>
      <x:c r="S28" s="23" t="str">
        <x:v>Backlog</x:v>
      </x:c>
      <x:c r="T28" s="29" t="str"/>
      <x:c r="U28" s="32" t="str"/>
      <x:c r="V28" s="23" t="str">
        <x:v>Recent code review and current source</x:v>
      </x:c>
      <x:c r="W28" s="23" t="str">
        <x:v>Not Run</x:v>
      </x:c>
      <x:c r="X28" s="23" t="str">
        <x:v>Not Run</x:v>
      </x:c>
      <x:c r="Y28" s="23" t="str">
        <x:v>Not Run</x:v>
      </x:c>
      <x:c r="Z28" s="23" t="str">
        <x:v>Not Run</x:v>
      </x:c>
      <x:c r="AA28" s="23" t="str">
        <x:v>Not Run</x:v>
      </x:c>
      <x:c r="AB28" s="23" t="str"/>
    </x:row>
    <x:row r="29">
      <x:c r="A29" s="23" t="str">
        <x:v>UX-04</x:v>
      </x:c>
      <x:c r="B29" s="23" t="str">
        <x:v>W1 Shared UX</x:v>
      </x:c>
      <x:c r="C29" s="26" t="n">
        <x:v>24</x:v>
      </x:c>
      <x:c r="D29" s="23" t="str">
        <x:v>Shared authorization UX</x:v>
      </x:c>
      <x:c r="E29" s="23" t="str">
        <x:v>All capability-gated routes</x:v>
      </x:c>
      <x:c r="F29" s="23" t="str">
        <x:v>Restricted user</x:v>
      </x:c>
      <x:c r="G29" s="23" t="str">
        <x:v>Actions can appear before a later API 403, while capability loading can hide navigation without explanation.</x:v>
      </x:c>
      <x:c r="H29" s="23" t="str">
        <x:v>Use shared page and action guards driven by both capability and permission, with distinct disabled, unauthorized, and context-required states.</x:v>
      </x:c>
      <x:c r="I29" s="23" t="str">
        <x:v>UX/UI and workflow</x:v>
      </x:c>
      <x:c r="J29" s="23" t="str">
        <x:v>P1</x:v>
      </x:c>
      <x:c r="K29" s="23" t="str">
        <x:v>W0-03,W0-04,W0-11</x:v>
      </x:c>
      <x:c r="L29" s="23" t="str">
        <x:v>No unauthorized mutation action renders, direct URL access is handled consistently, and users receive an actionable explanation.</x:v>
      </x:c>
      <x:c r="M29" s="23" t="str">
        <x:v>Run the persona and direct-URL matrix and API-denial consistency tests.</x:v>
      </x:c>
      <x:c r="N29" s="23" t="str">
        <x:v>Implemented / gated</x:v>
      </x:c>
      <x:c r="O29" s="23" t="str">
        <x:v>Backlog</x:v>
      </x:c>
      <x:c r="P29" s="23" t="str">
        <x:v>Not Run</x:v>
      </x:c>
      <x:c r="Q29" s="23" t="str">
        <x:v>Not Run</x:v>
      </x:c>
      <x:c r="R29" s="23" t="str">
        <x:v>Not Run</x:v>
      </x:c>
      <x:c r="S29" s="23" t="str">
        <x:v>Backlog</x:v>
      </x:c>
      <x:c r="T29" s="29" t="str"/>
      <x:c r="U29" s="32" t="str"/>
      <x:c r="V29" s="23" t="str">
        <x:v>Recent code review and current source</x:v>
      </x:c>
      <x:c r="W29" s="23" t="str">
        <x:v>Not Run</x:v>
      </x:c>
      <x:c r="X29" s="23" t="str">
        <x:v>Not Run</x:v>
      </x:c>
      <x:c r="Y29" s="23" t="str">
        <x:v>Not Run</x:v>
      </x:c>
      <x:c r="Z29" s="23" t="str">
        <x:v>Not Run</x:v>
      </x:c>
      <x:c r="AA29" s="23" t="str">
        <x:v>Not Run</x:v>
      </x:c>
      <x:c r="AB29" s="23" t="str"/>
    </x:row>
    <x:row r="30">
      <x:c r="A30" s="23" t="str">
        <x:v>UX-05</x:v>
      </x:c>
      <x:c r="B30" s="23" t="str">
        <x:v>W1 Shared UX</x:v>
      </x:c>
      <x:c r="C30" s="26" t="n">
        <x:v>25</x:v>
      </x:c>
      <x:c r="D30" s="23" t="str">
        <x:v>Shared forms</x:v>
      </x:c>
      <x:c r="E30" s="23" t="str">
        <x:v>New create and edit pages</x:v>
      </x:c>
      <x:c r="F30" s="23" t="str">
        <x:v>Data-entry users</x:v>
      </x:c>
      <x:c r="G30" s="23" t="str">
        <x:v>Modal closure, partial saves, and inconsistent feedback make recovery confusing.</x:v>
      </x:c>
      <x:c r="H30" s="23" t="str">
        <x:v>Add clear primary and secondary actions, an inline validation summary, pending protection, an unsaved-change warning, conflict handling, and an explicit success destination.</x:v>
      </x:c>
      <x:c r="I30" s="23" t="str">
        <x:v>UX/UI and workflow</x:v>
      </x:c>
      <x:c r="J30" s="23" t="str">
        <x:v>P2</x:v>
      </x:c>
      <x:c r="K30" s="23" t="str">
        <x:v>UX-01</x:v>
      </x:c>
      <x:c r="L30" s="23" t="str">
        <x:v>Double submit is prevented, invalid fields are focusable, accidental navigation warns, and successful save has one clear next action.</x:v>
      </x:c>
      <x:c r="M30" s="23" t="str">
        <x:v>Run keyboard, refresh, browser back, conflict, and slow-network browser tests.</x:v>
      </x:c>
      <x:c r="N30" s="23" t="str">
        <x:v>Partial</x:v>
      </x:c>
      <x:c r="O30" s="23" t="str">
        <x:v>Backlog</x:v>
      </x:c>
      <x:c r="P30" s="23" t="str">
        <x:v>Not Run</x:v>
      </x:c>
      <x:c r="Q30" s="23" t="str">
        <x:v>Not Run</x:v>
      </x:c>
      <x:c r="R30" s="23" t="str">
        <x:v>Not Run</x:v>
      </x:c>
      <x:c r="S30" s="23" t="str">
        <x:v>Backlog</x:v>
      </x:c>
      <x:c r="T30" s="29" t="str"/>
      <x:c r="U30" s="32" t="str"/>
      <x:c r="V30" s="23" t="str">
        <x:v>Recent code review and current source</x:v>
      </x:c>
      <x:c r="W30" s="23" t="str">
        <x:v>Not Run</x:v>
      </x:c>
      <x:c r="X30" s="23" t="str">
        <x:v>Not Run</x:v>
      </x:c>
      <x:c r="Y30" s="23" t="str">
        <x:v>Not Run</x:v>
      </x:c>
      <x:c r="Z30" s="23" t="str">
        <x:v>Not Run</x:v>
      </x:c>
      <x:c r="AA30" s="23" t="str">
        <x:v>Not Run</x:v>
      </x:c>
      <x:c r="AB30" s="23" t="str"/>
    </x:row>
    <x:row r="31">
      <x:c r="A31" s="23" t="str">
        <x:v>UX-06</x:v>
      </x:c>
      <x:c r="B31" s="23" t="str">
        <x:v>W1 Shared UX</x:v>
      </x:c>
      <x:c r="C31" s="26" t="n">
        <x:v>26</x:v>
      </x:c>
      <x:c r="D31" s="23" t="str">
        <x:v>Shared UI</x:v>
      </x:c>
      <x:c r="E31" s="23" t="str">
        <x:v>Shell, lists, and full-page forms</x:v>
      </x:c>
      <x:c r="F31" s="23" t="str">
        <x:v>Keyboard, mobile, and low-vision users</x:v>
      </x:c>
      <x:c r="G31" s="23" t="str">
        <x:v>Production-level accessibility and responsive acceptance are not defined consistently across modules.</x:v>
      </x:c>
      <x:c r="H31" s="23" t="str">
        <x:v>Adopt keyboard and focus, semantic labels, contrast, reduced motion, mobile and tablet, and 200 percent zoom checks as mandatory module gates.</x:v>
      </x:c>
      <x:c r="I31" s="23" t="str">
        <x:v>UX/UI and workflow</x:v>
      </x:c>
      <x:c r="J31" s="23" t="str">
        <x:v>P1</x:v>
      </x:c>
      <x:c r="K31" s="23" t="str">
        <x:v>UX-01,UX-02,UX-03,UX-04,UX-05</x:v>
      </x:c>
      <x:c r="L31" s="23" t="str">
        <x:v>No content or action is blocked at supported breakpoints or 200 percent zoom, all workflows complete by keyboard, and errors are announced and focused.</x:v>
      </x:c>
      <x:c r="M31" s="23" t="str">
        <x:v>Run automated accessibility scans plus manual keyboard, mobile, and zoom evidence capture.</x:v>
      </x:c>
      <x:c r="N31" s="23" t="str">
        <x:v>Proposed control</x:v>
      </x:c>
      <x:c r="O31" s="23" t="str">
        <x:v>Backlog</x:v>
      </x:c>
      <x:c r="P31" s="23" t="str">
        <x:v>Not Run</x:v>
      </x:c>
      <x:c r="Q31" s="23" t="str">
        <x:v>Not Run</x:v>
      </x:c>
      <x:c r="R31" s="23" t="str">
        <x:v>Not Run</x:v>
      </x:c>
      <x:c r="S31" s="23" t="str">
        <x:v>Backlog</x:v>
      </x:c>
      <x:c r="T31" s="29" t="str"/>
      <x:c r="U31" s="32" t="str"/>
      <x:c r="V31" s="23" t="str">
        <x:v>Recent code review and current source</x:v>
      </x:c>
      <x:c r="W31" s="23" t="str">
        <x:v>Not Run</x:v>
      </x:c>
      <x:c r="X31" s="23" t="str">
        <x:v>Not Run</x:v>
      </x:c>
      <x:c r="Y31" s="23" t="str">
        <x:v>Not Run</x:v>
      </x:c>
      <x:c r="Z31" s="23" t="str">
        <x:v>Not Run</x:v>
      </x:c>
      <x:c r="AA31" s="23" t="str">
        <x:v>Not Run</x:v>
      </x:c>
      <x:c r="AB31" s="23" t="str"/>
    </x:row>
    <x:row r="32">
      <x:c r="A32" s="23" t="str">
        <x:v>DES-01</x:v>
      </x:c>
      <x:c r="B32" s="23" t="str">
        <x:v>W2 Designation</x:v>
      </x:c>
      <x:c r="C32" s="26" t="n">
        <x:v>27</x:v>
      </x:c>
      <x:c r="D32" s="23" t="str">
        <x:v>Designations</x:v>
      </x:c>
      <x:c r="E32" s="23" t="str">
        <x:v>New /administration/designations/new</x:v>
      </x:c>
      <x:c r="F32" s="23" t="str">
        <x:v>Organization or HR administrator</x:v>
      </x:c>
      <x:c r="G32" s="23" t="str">
        <x:v>Creation, Company selection, and optional onboarding linkage are compressed into a dialog.</x:v>
      </x:c>
      <x:c r="H32" s="23" t="str">
        <x:v>Build a full page using the approved shared form pattern.</x:v>
      </x:c>
      <x:c r="I32" s="23" t="str">
        <x:v>UX/UI and implementation</x:v>
      </x:c>
      <x:c r="J32" s="23" t="str">
        <x:v>P1</x:v>
      </x:c>
      <x:c r="K32" s="23" t="str">
        <x:v>W0-03,W0-04,W0-05,W0-06,W0-07,UX-01,UX-05</x:v>
      </x:c>
      <x:c r="L32" s="23" t="str">
        <x:v>Direct URL, refresh, cancel or back, and successful save work without reopening a dialog.</x:v>
      </x:c>
      <x:c r="M32" s="23" t="str">
        <x:v>Run route-guard, form, browser-history, and responsive UAT.</x:v>
      </x:c>
      <x:c r="N32" s="23" t="str">
        <x:v>Implemented / improvement needed</x:v>
      </x:c>
      <x:c r="O32" s="23" t="str">
        <x:v>Backlog</x:v>
      </x:c>
      <x:c r="P32" s="23" t="str">
        <x:v>Not Run</x:v>
      </x:c>
      <x:c r="Q32" s="23" t="str">
        <x:v>Not Run</x:v>
      </x:c>
      <x:c r="R32" s="23" t="str">
        <x:v>Not Run</x:v>
      </x:c>
      <x:c r="S32" s="23" t="str">
        <x:v>Backlog</x:v>
      </x:c>
      <x:c r="T32" s="29" t="str"/>
      <x:c r="U32" s="32" t="str"/>
      <x:c r="V32" s="23" t="str">
        <x:v>Recent code review and current source</x:v>
      </x:c>
      <x:c r="W32" s="23" t="str">
        <x:v>Not Run</x:v>
      </x:c>
      <x:c r="X32" s="23" t="str">
        <x:v>Not Run</x:v>
      </x:c>
      <x:c r="Y32" s="23" t="str">
        <x:v>Not Run</x:v>
      </x:c>
      <x:c r="Z32" s="23" t="str">
        <x:v>Not Run</x:v>
      </x:c>
      <x:c r="AA32" s="23" t="str">
        <x:v>Not Run</x:v>
      </x:c>
      <x:c r="AB32" s="23" t="str"/>
    </x:row>
    <x:row r="33">
      <x:c r="A33" s="23" t="str">
        <x:v>DES-02</x:v>
      </x:c>
      <x:c r="B33" s="23" t="str">
        <x:v>W2 Designation</x:v>
      </x:c>
      <x:c r="C33" s="26" t="n">
        <x:v>28</x:v>
      </x:c>
      <x:c r="D33" s="23" t="str">
        <x:v>Designations</x:v>
      </x:c>
      <x:c r="E33" s="23" t="str">
        <x:v>New /administration/designations/[id]/edit</x:v>
      </x:c>
      <x:c r="F33" s="23" t="str">
        <x:v>Organization structure manager</x:v>
      </x:c>
      <x:c r="G33" s="23" t="str">
        <x:v>Edit and delete actions remain inside the shared dialog and cannot be linked or recovered independently.</x:v>
      </x:c>
      <x:c r="H33" s="23" t="str">
        <x:v>Add an edit page while keeping onboarding-first-link behaviour separate from ordinary edits.</x:v>
      </x:c>
      <x:c r="I33" s="23" t="str">
        <x:v>UX/UI and workflow</x:v>
      </x:c>
      <x:c r="J33" s="23" t="str">
        <x:v>P2</x:v>
      </x:c>
      <x:c r="K33" s="23" t="str">
        <x:v>UX-01,UX-03,DES-01</x:v>
      </x:c>
      <x:c r="L33" s="23" t="str">
        <x:v>An existing Designation loads by scoped ID, update succeeds, delete remains a confirmation dialog, and unauthorized or invalid IDs are handled.</x:v>
      </x:c>
      <x:c r="M33" s="23" t="str">
        <x:v>Run Company isolation, permission, stale-record, and browser-navigation tests.</x:v>
      </x:c>
      <x:c r="N33" s="23" t="str">
        <x:v>Implemented / improvement needed</x:v>
      </x:c>
      <x:c r="O33" s="23" t="str">
        <x:v>Backlog</x:v>
      </x:c>
      <x:c r="P33" s="23" t="str">
        <x:v>Not Run</x:v>
      </x:c>
      <x:c r="Q33" s="23" t="str">
        <x:v>Not Run</x:v>
      </x:c>
      <x:c r="R33" s="23" t="str">
        <x:v>Not Run</x:v>
      </x:c>
      <x:c r="S33" s="23" t="str">
        <x:v>Backlog</x:v>
      </x:c>
      <x:c r="T33" s="29" t="str"/>
      <x:c r="U33" s="32" t="str"/>
      <x:c r="V33" s="23" t="str">
        <x:v>Recent code review and current source</x:v>
      </x:c>
      <x:c r="W33" s="23" t="str">
        <x:v>Not Run</x:v>
      </x:c>
      <x:c r="X33" s="23" t="str">
        <x:v>Not Run</x:v>
      </x:c>
      <x:c r="Y33" s="23" t="str">
        <x:v>Not Run</x:v>
      </x:c>
      <x:c r="Z33" s="23" t="str">
        <x:v>Not Run</x:v>
      </x:c>
      <x:c r="AA33" s="23" t="str">
        <x:v>Not Run</x:v>
      </x:c>
      <x:c r="AB33" s="23" t="str"/>
    </x:row>
    <x:row r="34">
      <x:c r="A34" s="23" t="str">
        <x:v>DES-03</x:v>
      </x:c>
      <x:c r="B34" s="23" t="str">
        <x:v>W2 Designation</x:v>
      </x:c>
      <x:c r="C34" s="26" t="n">
        <x:v>29</x:v>
      </x:c>
      <x:c r="D34" s="23" t="str">
        <x:v>Designations and Onboarding Templates</x:v>
      </x:c>
      <x:c r="E34" s="23" t="str">
        <x:v>/administration/designations and /hr/onboarding-templates</x:v>
      </x:c>
      <x:c r="F34" s="23" t="str">
        <x:v>Authorized administrator</x:v>
      </x:c>
      <x:c r="G34" s="23" t="str">
        <x:v>Two buttons open the same dialog but users lack a durable source-aware return path.</x:v>
      </x:c>
      <x:c r="H34" s="23" t="str">
        <x:v>Make both actions navigate to the new page with a validated source and return destination.</x:v>
      </x:c>
      <x:c r="I34" s="23" t="str">
        <x:v>UX/UI and workflow</x:v>
      </x:c>
      <x:c r="J34" s="23" t="str">
        <x:v>P1</x:v>
      </x:c>
      <x:c r="K34" s="23" t="str">
        <x:v>DES-01</x:v>
      </x:c>
      <x:c r="L34" s="23" t="str">
        <x:v>Administration returns to Designations; Onboarding returns to the newly visible template or checklist; manipulated return URLs cannot escape approved internal routes.</x:v>
      </x:c>
      <x:c r="M34" s="23" t="str">
        <x:v>Run both entry paths, direct URL, and safe-return tests.</x:v>
      </x:c>
      <x:c r="N34" s="23" t="str">
        <x:v>Implemented / improvement needed</x:v>
      </x:c>
      <x:c r="O34" s="23" t="str">
        <x:v>Backlog</x:v>
      </x:c>
      <x:c r="P34" s="23" t="str">
        <x:v>Not Run</x:v>
      </x:c>
      <x:c r="Q34" s="23" t="str">
        <x:v>Not Run</x:v>
      </x:c>
      <x:c r="R34" s="23" t="str">
        <x:v>Not Run</x:v>
      </x:c>
      <x:c r="S34" s="23" t="str">
        <x:v>Backlog</x:v>
      </x:c>
      <x:c r="T34" s="29" t="str"/>
      <x:c r="U34" s="32" t="str"/>
      <x:c r="V34" s="23" t="str">
        <x:v>Recent code review and current source</x:v>
      </x:c>
      <x:c r="W34" s="23" t="str">
        <x:v>Not Run</x:v>
      </x:c>
      <x:c r="X34" s="23" t="str">
        <x:v>Not Run</x:v>
      </x:c>
      <x:c r="Y34" s="23" t="str">
        <x:v>Not Run</x:v>
      </x:c>
      <x:c r="Z34" s="23" t="str">
        <x:v>Not Run</x:v>
      </x:c>
      <x:c r="AA34" s="23" t="str">
        <x:v>Not Run</x:v>
      </x:c>
      <x:c r="AB34" s="23" t="str"/>
    </x:row>
    <x:row r="35">
      <x:c r="A35" s="23" t="str">
        <x:v>DES-04</x:v>
      </x:c>
      <x:c r="B35" s="23" t="str">
        <x:v>W2 Designation</x:v>
      </x:c>
      <x:c r="C35" s="26" t="n">
        <x:v>30</x:v>
      </x:c>
      <x:c r="D35" s="23" t="str">
        <x:v>Designation create UI</x:v>
      </x:c>
      <x:c r="E35" s="23" t="str">
        <x:v>/administration/designations/new</x:v>
      </x:c>
      <x:c r="F35" s="23" t="str">
        <x:v>Multi-Branch HR administrator</x:v>
      </x:c>
      <x:c r="G35" s="23" t="str">
        <x:v>Department options are Company-filtered only and identical names are ambiguous.</x:v>
      </x:c>
      <x:c r="H35" s="23" t="str">
        <x:v>Require Branch before department and display Branch and Department labels together.</x:v>
      </x:c>
      <x:c r="I35" s="23" t="str">
        <x:v>UX/UI and workflow</x:v>
      </x:c>
      <x:c r="J35" s="23" t="str">
        <x:v>P1</x:v>
      </x:c>
      <x:c r="K35" s="23" t="str">
        <x:v>W0-06,DES-01</x:v>
      </x:c>
      <x:c r="L35" s="23" t="str">
        <x:v>Only departments from the selected Company and Branch are selectable, selections reset safely when context changes, and mismatch errors are shown inline.</x:v>
      </x:c>
      <x:c r="M35" s="23" t="str">
        <x:v>Run a two-company and two-Branch browser matrix.</x:v>
      </x:c>
      <x:c r="N35" s="23" t="str">
        <x:v>Implemented / improvement needed</x:v>
      </x:c>
      <x:c r="O35" s="23" t="str">
        <x:v>Backlog</x:v>
      </x:c>
      <x:c r="P35" s="23" t="str">
        <x:v>Not Run</x:v>
      </x:c>
      <x:c r="Q35" s="23" t="str">
        <x:v>Not Run</x:v>
      </x:c>
      <x:c r="R35" s="23" t="str">
        <x:v>Not Run</x:v>
      </x:c>
      <x:c r="S35" s="23" t="str">
        <x:v>Backlog</x:v>
      </x:c>
      <x:c r="T35" s="29" t="str"/>
      <x:c r="U35" s="32" t="str"/>
      <x:c r="V35" s="23" t="str">
        <x:v>Recent code review and current source</x:v>
      </x:c>
      <x:c r="W35" s="23" t="str">
        <x:v>Not Run</x:v>
      </x:c>
      <x:c r="X35" s="23" t="str">
        <x:v>Not Run</x:v>
      </x:c>
      <x:c r="Y35" s="23" t="str">
        <x:v>Not Run</x:v>
      </x:c>
      <x:c r="Z35" s="23" t="str">
        <x:v>Not Run</x:v>
      </x:c>
      <x:c r="AA35" s="23" t="str">
        <x:v>Not Run</x:v>
      </x:c>
      <x:c r="AB35" s="23" t="str"/>
    </x:row>
    <x:row r="36">
      <x:c r="A36" s="23" t="str">
        <x:v>DES-05</x:v>
      </x:c>
      <x:c r="B36" s="23" t="str">
        <x:v>W2 Designation</x:v>
      </x:c>
      <x:c r="C36" s="26" t="n">
        <x:v>31</x:v>
      </x:c>
      <x:c r="D36" s="23" t="str">
        <x:v>Designation create UI</x:v>
      </x:c>
      <x:c r="E36" s="23" t="str">
        <x:v>/administration/designations/new; /hr/onboarding-templates</x:v>
      </x:c>
      <x:c r="F36" s="23" t="str">
        <x:v>Structure manager, Onboarding manager, and read-only user</x:v>
      </x:c>
      <x:c r="G36" s="23" t="str">
        <x:v>The optional onboarding field and action appear without proving module capability plus the approved permission contract.</x:v>
      </x:c>
      <x:c r="H36" s="23" t="str">
        <x:v>Render the onboarding section only when capability, scope, and permissions all allow it; otherwise create a normal Designation or show a concise unavailable explanation.</x:v>
      </x:c>
      <x:c r="I36" s="23" t="str">
        <x:v>UX/UI and workflow</x:v>
      </x:c>
      <x:c r="J36" s="23" t="str">
        <x:v>P1</x:v>
      </x:c>
      <x:c r="K36" s="23" t="str">
        <x:v>W0-03,W0-04,UX-04</x:v>
      </x:c>
      <x:c r="L36" s="23" t="str">
        <x:v>UI choices exactly match allowed backend outcomes for every persona and scope.</x:v>
      </x:c>
      <x:c r="M36" s="23" t="str">
        <x:v>Run the production-role browser matrix with flag-off, universal, and restricted settings.</x:v>
      </x:c>
      <x:c r="N36" s="23" t="str">
        <x:v>Implemented / improvement needed</x:v>
      </x:c>
      <x:c r="O36" s="23" t="str">
        <x:v>Backlog</x:v>
      </x:c>
      <x:c r="P36" s="23" t="str">
        <x:v>Not Run</x:v>
      </x:c>
      <x:c r="Q36" s="23" t="str">
        <x:v>Not Run</x:v>
      </x:c>
      <x:c r="R36" s="23" t="str">
        <x:v>Not Run</x:v>
      </x:c>
      <x:c r="S36" s="23" t="str">
        <x:v>Backlog</x:v>
      </x:c>
      <x:c r="T36" s="29" t="str"/>
      <x:c r="U36" s="32" t="str"/>
      <x:c r="V36" s="23" t="str">
        <x:v>Recent code review and current source</x:v>
      </x:c>
      <x:c r="W36" s="23" t="str">
        <x:v>Not Run</x:v>
      </x:c>
      <x:c r="X36" s="23" t="str">
        <x:v>Not Run</x:v>
      </x:c>
      <x:c r="Y36" s="23" t="str">
        <x:v>Not Run</x:v>
      </x:c>
      <x:c r="Z36" s="23" t="str">
        <x:v>Not Run</x:v>
      </x:c>
      <x:c r="AA36" s="23" t="str">
        <x:v>Not Run</x:v>
      </x:c>
      <x:c r="AB36" s="23" t="str"/>
    </x:row>
    <x:row r="37">
      <x:c r="A37" s="23" t="str">
        <x:v>DES-06</x:v>
      </x:c>
      <x:c r="B37" s="23" t="str">
        <x:v>W2 Designation</x:v>
      </x:c>
      <x:c r="C37" s="26" t="n">
        <x:v>32</x:v>
      </x:c>
      <x:c r="D37" s="23" t="str">
        <x:v>Designation and Onboarding creation</x:v>
      </x:c>
      <x:c r="E37" s="23" t="str">
        <x:v>/administration/designations/new</x:v>
      </x:c>
      <x:c r="F37" s="23" t="str">
        <x:v>Administrator</x:v>
      </x:c>
      <x:c r="G37" s="23" t="str">
        <x:v>The current hook treats link failure as overall success, closes the form, and points to a possibly unauthorized recovery page.</x:v>
      </x:c>
      <x:c r="H37" s="23" t="str">
        <x:v>Consume the atomic command and show either complete success with an Open first checklist action or a retained actionable error without closing.</x:v>
      </x:c>
      <x:c r="I37" s="23" t="str">
        <x:v>UX/UI and workflow</x:v>
      </x:c>
      <x:c r="J37" s="23" t="str">
        <x:v>P1</x:v>
      </x:c>
      <x:c r="K37" s="23" t="str">
        <x:v>W0-05,DES-01</x:v>
      </x:c>
      <x:c r="L37" s="23" t="str">
        <x:v>No warning is reported as success, no partial record is hidden, and retry is safe.</x:v>
      </x:c>
      <x:c r="M37" s="23" t="str">
        <x:v>Simulate API validation, conflict, and timeout failures, then verify the successful deep link.</x:v>
      </x:c>
      <x:c r="N37" s="23" t="str">
        <x:v>Implemented / improvement needed</x:v>
      </x:c>
      <x:c r="O37" s="23" t="str">
        <x:v>Backlog</x:v>
      </x:c>
      <x:c r="P37" s="23" t="str">
        <x:v>Not Run</x:v>
      </x:c>
      <x:c r="Q37" s="23" t="str">
        <x:v>Not Run</x:v>
      </x:c>
      <x:c r="R37" s="23" t="str">
        <x:v>Not Run</x:v>
      </x:c>
      <x:c r="S37" s="23" t="str">
        <x:v>Backlog</x:v>
      </x:c>
      <x:c r="T37" s="29" t="str"/>
      <x:c r="U37" s="32" t="str"/>
      <x:c r="V37" s="23" t="str">
        <x:v>Recent code review and current source</x:v>
      </x:c>
      <x:c r="W37" s="23" t="str">
        <x:v>Not Run</x:v>
      </x:c>
      <x:c r="X37" s="23" t="str">
        <x:v>Not Run</x:v>
      </x:c>
      <x:c r="Y37" s="23" t="str">
        <x:v>Not Run</x:v>
      </x:c>
      <x:c r="Z37" s="23" t="str">
        <x:v>Not Run</x:v>
      </x:c>
      <x:c r="AA37" s="23" t="str">
        <x:v>Not Run</x:v>
      </x:c>
      <x:c r="AB37" s="23" t="str"/>
    </x:row>
    <x:row r="38">
      <x:c r="A38" s="23" t="str">
        <x:v>DES-07</x:v>
      </x:c>
      <x:c r="B38" s="23" t="str">
        <x:v>W2 Designation</x:v>
      </x:c>
      <x:c r="C38" s="26" t="n">
        <x:v>33</x:v>
      </x:c>
      <x:c r="D38" s="23" t="str">
        <x:v>Designations and Onboarding</x:v>
      </x:c>
      <x:c r="E38" s="23" t="str">
        <x:v>Both create entry points through the first department checklist</x:v>
      </x:c>
      <x:c r="F38" s="23" t="str">
        <x:v>Structure manager, HR Onboarding manager, combined role, read-only role, and second-tenant user</x:v>
      </x:c>
      <x:c r="G38" s="23" t="str">
        <x:v>The recent flow is code-reviewed but not proven under production-equivalent configuration.</x:v>
      </x:c>
      <x:c r="H38" s="23" t="str">
        <x:v>Execute one evidence-controlled UAT flow after all release and UX fixes are complete.</x:v>
      </x:c>
      <x:c r="I38" s="23" t="str">
        <x:v>UX/UI and workflow</x:v>
      </x:c>
      <x:c r="J38" s="23" t="str">
        <x:v>P1</x:v>
      </x:c>
      <x:c r="K38" s="23" t="str">
        <x:v>W0-03,W0-04,W0-05,W0-06,W0-07,DES-01,DES-02,DES-03,DES-04,DES-05,DES-06,UX-06</x:v>
      </x:c>
      <x:c r="L38" s="23" t="str">
        <x:v>Authorized personas complete the intended flow, unsupported roles are safely blocked, no cross-tenant or cross-Branch data appears, and audit records are complete.</x:v>
      </x:c>
      <x:c r="M38" s="23" t="str">
        <x:v>Run real API, database, and browser UAT with production flags, real capability responses, and sanitized evidence.</x:v>
      </x:c>
      <x:c r="N38" s="23" t="str">
        <x:v>Implemented / improvement needed</x:v>
      </x:c>
      <x:c r="O38" s="23" t="str">
        <x:v>Backlog</x:v>
      </x:c>
      <x:c r="P38" s="23" t="str">
        <x:v>Not Run</x:v>
      </x:c>
      <x:c r="Q38" s="23" t="str">
        <x:v>Not Run</x:v>
      </x:c>
      <x:c r="R38" s="23" t="str">
        <x:v>Not Run</x:v>
      </x:c>
      <x:c r="S38" s="23" t="str">
        <x:v>Backlog</x:v>
      </x:c>
      <x:c r="T38" s="29" t="str"/>
      <x:c r="U38" s="32" t="str"/>
      <x:c r="V38" s="23" t="str">
        <x:v>Recent code review and current source</x:v>
      </x:c>
      <x:c r="W38" s="23" t="str">
        <x:v>Not Run</x:v>
      </x:c>
      <x:c r="X38" s="23" t="str">
        <x:v>Not Run</x:v>
      </x:c>
      <x:c r="Y38" s="23" t="str">
        <x:v>Not Run</x:v>
      </x:c>
      <x:c r="Z38" s="23" t="str">
        <x:v>Not Run</x:v>
      </x:c>
      <x:c r="AA38" s="23" t="str">
        <x:v>Not Run</x:v>
      </x:c>
      <x:c r="AB38" s="23" t="str"/>
    </x:row>
    <x:row r="39">
      <x:c r="A39" s="23" t="str">
        <x:v>AUTH-01</x:v>
      </x:c>
      <x:c r="B39" s="23" t="str">
        <x:v>W3 Entry and organization</x:v>
      </x:c>
      <x:c r="C39" s="26" t="n">
        <x:v>34</x:v>
      </x:c>
      <x:c r="D39" s="23" t="str">
        <x:v>Authentication</x:v>
      </x:c>
      <x:c r="E39" s="23" t="str">
        <x:v>/login; invitation and password-change flow; protected routes</x:v>
      </x:c>
      <x:c r="F39" s="23" t="str">
        <x:v>Returning and invited user</x:v>
      </x:c>
      <x:c r="G39" s="23" t="str">
        <x:v>Protected-route redirection stores next, but organization onboarding or password-change redirects can lose the intended destination.</x:v>
      </x:c>
      <x:c r="H39" s="23" t="str">
        <x:v>Preserve a validated internal destination through required authentication steps, with Dashboard as the fallback.</x:v>
      </x:c>
      <x:c r="I39" s="23" t="str">
        <x:v>UX/UI and workflow</x:v>
      </x:c>
      <x:c r="J39" s="23" t="str">
        <x:v>P1</x:v>
      </x:c>
      <x:c r="K39" s="23" t="str">
        <x:v>UX-03,UX-04</x:v>
      </x:c>
      <x:c r="L39" s="23" t="str">
        <x:v>Users return to the permitted original route, open redirects are impossible, and forbidden destinations fall back safely.</x:v>
      </x:c>
      <x:c r="M39" s="23" t="str">
        <x:v>Run login, invitation, forced password change, expired session, and malicious-next tests.</x:v>
      </x:c>
      <x:c r="N39" s="23" t="str">
        <x:v>Implemented / improvement needed</x:v>
      </x:c>
      <x:c r="O39" s="23" t="str">
        <x:v>Backlog</x:v>
      </x:c>
      <x:c r="P39" s="23" t="str">
        <x:v>Not Run</x:v>
      </x:c>
      <x:c r="Q39" s="23" t="str">
        <x:v>Not Run</x:v>
      </x:c>
      <x:c r="R39" s="23" t="str">
        <x:v>Not Run</x:v>
      </x:c>
      <x:c r="S39" s="23" t="str">
        <x:v>Backlog</x:v>
      </x:c>
      <x:c r="T39" s="29" t="str"/>
      <x:c r="U39" s="32" t="str"/>
      <x:c r="V39" s="23" t="str">
        <x:v>Recent code review and current source</x:v>
      </x:c>
      <x:c r="W39" s="23" t="str">
        <x:v>Not Run</x:v>
      </x:c>
      <x:c r="X39" s="23" t="str">
        <x:v>Not Run</x:v>
      </x:c>
      <x:c r="Y39" s="23" t="str">
        <x:v>Not Run</x:v>
      </x:c>
      <x:c r="Z39" s="23" t="str">
        <x:v>Not Run</x:v>
      </x:c>
      <x:c r="AA39" s="23" t="str">
        <x:v>Not Run</x:v>
      </x:c>
      <x:c r="AB39" s="23" t="str"/>
    </x:row>
    <x:row r="40">
      <x:c r="A40" s="23" t="str">
        <x:v>ORG-01</x:v>
      </x:c>
      <x:c r="B40" s="23" t="str">
        <x:v>W3 Entry and organization</x:v>
      </x:c>
      <x:c r="C40" s="26" t="n">
        <x:v>35</x:v>
      </x:c>
      <x:c r="D40" s="23" t="str">
        <x:v>Organization onboarding</x:v>
      </x:c>
      <x:c r="E40" s="23" t="str">
        <x:v>/onboarding</x:v>
      </x:c>
      <x:c r="F40" s="23" t="str">
        <x:v>Organization owner</x:v>
      </x:c>
      <x:c r="G40" s="23" t="str">
        <x:v>The Team step is a pass-through information step and Company Group, Company, and Branch concepts may be unclear.</x:v>
      </x:c>
      <x:c r="H40" s="23" t="str">
        <x:v>Rename the step to Next steps or remove it from progress, and explain each organization level and prerequisite without changing setup order.</x:v>
      </x:c>
      <x:c r="I40" s="23" t="str">
        <x:v>UX/UI and workflow</x:v>
      </x:c>
      <x:c r="J40" s="23" t="str">
        <x:v>P2</x:v>
      </x:c>
      <x:c r="K40" s="23" t="str">
        <x:v>UX-05</x:v>
      </x:c>
      <x:c r="L40" s="23" t="str">
        <x:v>Every step states what is created, what is optional, and what comes next; the progress count reflects real user work.</x:v>
      </x:c>
      <x:c r="M40" s="23" t="str">
        <x:v>Run a first-time-owner usability walkthrough and responsive test.</x:v>
      </x:c>
      <x:c r="N40" s="23" t="str">
        <x:v>Implemented / improvement needed</x:v>
      </x:c>
      <x:c r="O40" s="23" t="str">
        <x:v>Backlog</x:v>
      </x:c>
      <x:c r="P40" s="23" t="str">
        <x:v>Not Run</x:v>
      </x:c>
      <x:c r="Q40" s="23" t="str">
        <x:v>Not Run</x:v>
      </x:c>
      <x:c r="R40" s="23" t="str">
        <x:v>Not Run</x:v>
      </x:c>
      <x:c r="S40" s="23" t="str">
        <x:v>Backlog</x:v>
      </x:c>
      <x:c r="T40" s="29" t="str"/>
      <x:c r="U40" s="32" t="str"/>
      <x:c r="V40" s="23" t="str">
        <x:v>Recent code review and current source</x:v>
      </x:c>
      <x:c r="W40" s="23" t="str">
        <x:v>Not Run</x:v>
      </x:c>
      <x:c r="X40" s="23" t="str">
        <x:v>Not Run</x:v>
      </x:c>
      <x:c r="Y40" s="23" t="str">
        <x:v>Not Run</x:v>
      </x:c>
      <x:c r="Z40" s="23" t="str">
        <x:v>Not Run</x:v>
      </x:c>
      <x:c r="AA40" s="23" t="str">
        <x:v>Not Run</x:v>
      </x:c>
      <x:c r="AB40" s="23" t="str"/>
    </x:row>
    <x:row r="41">
      <x:c r="A41" s="23" t="str">
        <x:v>ORG-02</x:v>
      </x:c>
      <x:c r="B41" s="23" t="str">
        <x:v>W3 Entry and organization</x:v>
      </x:c>
      <x:c r="C41" s="26" t="n">
        <x:v>36</x:v>
      </x:c>
      <x:c r="D41" s="23" t="str">
        <x:v>Organization onboarding</x:v>
      </x:c>
      <x:c r="E41" s="23" t="str">
        <x:v>/onboarding and organization onboarding APIs</x:v>
      </x:c>
      <x:c r="F41" s="23" t="str">
        <x:v>Organization owner</x:v>
      </x:c>
      <x:c r="G41" s="23" t="str">
        <x:v>Structure setup performs several sequential creates, so connection failure can leave mixed completion requiring interpretation.</x:v>
      </x:c>
      <x:c r="H41" s="23" t="str">
        <x:v>Make each step safely resumable, reflect server-confirmed state, and provide item-specific recovery rather than repeating completed creates.</x:v>
      </x:c>
      <x:c r="I41" s="23" t="str">
        <x:v>UX/UI and workflow</x:v>
      </x:c>
      <x:c r="J41" s="23" t="str">
        <x:v>P1</x:v>
      </x:c>
      <x:c r="K41" s="23" t="str">
        <x:v>W0-01,UX-05</x:v>
      </x:c>
      <x:c r="L41" s="23" t="str">
        <x:v>Refresh or retry after any failed request neither duplicates records nor loses completed work.</x:v>
      </x:c>
      <x:c r="M41" s="23" t="str">
        <x:v>Inject failure after Company, Branch, Department, Designation, and Shift creation.</x:v>
      </x:c>
      <x:c r="N41" s="23" t="str">
        <x:v>Implemented / improvement needed</x:v>
      </x:c>
      <x:c r="O41" s="23" t="str">
        <x:v>Backlog</x:v>
      </x:c>
      <x:c r="P41" s="23" t="str">
        <x:v>Not Run</x:v>
      </x:c>
      <x:c r="Q41" s="23" t="str">
        <x:v>Not Run</x:v>
      </x:c>
      <x:c r="R41" s="23" t="str">
        <x:v>Not Run</x:v>
      </x:c>
      <x:c r="S41" s="23" t="str">
        <x:v>Backlog</x:v>
      </x:c>
      <x:c r="T41" s="29" t="str"/>
      <x:c r="U41" s="32" t="str"/>
      <x:c r="V41" s="23" t="str">
        <x:v>Recent code review and current source</x:v>
      </x:c>
      <x:c r="W41" s="23" t="str">
        <x:v>Not Run</x:v>
      </x:c>
      <x:c r="X41" s="23" t="str">
        <x:v>Not Run</x:v>
      </x:c>
      <x:c r="Y41" s="23" t="str">
        <x:v>Not Run</x:v>
      </x:c>
      <x:c r="Z41" s="23" t="str">
        <x:v>Not Run</x:v>
      </x:c>
      <x:c r="AA41" s="23" t="str">
        <x:v>Not Run</x:v>
      </x:c>
      <x:c r="AB41" s="23" t="str"/>
    </x:row>
    <x:row r="42">
      <x:c r="A42" s="23" t="str">
        <x:v>ORG-03</x:v>
      </x:c>
      <x:c r="B42" s="23" t="str">
        <x:v>W3 Entry and organization</x:v>
      </x:c>
      <x:c r="C42" s="26" t="n">
        <x:v>37</x:v>
      </x:c>
      <x:c r="D42" s="23" t="str">
        <x:v>Organization onboarding and My Workspace</x:v>
      </x:c>
      <x:c r="E42" s="23" t="str">
        <x:v>/onboarding; /my-workspace</x:v>
      </x:c>
      <x:c r="F42" s="23" t="str">
        <x:v>Organization owner and support administrator</x:v>
      </x:c>
      <x:c r="G42" s="23" t="str">
        <x:v>The backend permits workspace entry when founding-Employee repair fails, but the user only sees generic Employee link required messaging.</x:v>
      </x:c>
      <x:c r="H42" s="23" t="str">
        <x:v>Show linkage status, automated retry where safe, and a support or Admin repair reference without exposing identifiers unnecessarily.</x:v>
      </x:c>
      <x:c r="I42" s="23" t="str">
        <x:v>UX/UI and workflow</x:v>
      </x:c>
      <x:c r="J42" s="23" t="str">
        <x:v>P1</x:v>
      </x:c>
      <x:c r="K42" s="23" t="str">
        <x:v>ORG-02</x:v>
      </x:c>
      <x:c r="L42" s="23" t="str">
        <x:v>Failure is visible, retry is idempotent, successful repair refreshes identity and self-service, and unresolved failures provide a traceable support code.</x:v>
      </x:c>
      <x:c r="M42" s="23" t="str">
        <x:v>Run forced linkage failure, retry, and session refresh UAT.</x:v>
      </x:c>
      <x:c r="N42" s="23" t="str">
        <x:v>Implemented / improvement needed</x:v>
      </x:c>
      <x:c r="O42" s="23" t="str">
        <x:v>Backlog</x:v>
      </x:c>
      <x:c r="P42" s="23" t="str">
        <x:v>Not Run</x:v>
      </x:c>
      <x:c r="Q42" s="23" t="str">
        <x:v>Not Run</x:v>
      </x:c>
      <x:c r="R42" s="23" t="str">
        <x:v>Not Run</x:v>
      </x:c>
      <x:c r="S42" s="23" t="str">
        <x:v>Backlog</x:v>
      </x:c>
      <x:c r="T42" s="29" t="str"/>
      <x:c r="U42" s="32" t="str"/>
      <x:c r="V42" s="23" t="str">
        <x:v>Recent code review and current source</x:v>
      </x:c>
      <x:c r="W42" s="23" t="str">
        <x:v>Not Run</x:v>
      </x:c>
      <x:c r="X42" s="23" t="str">
        <x:v>Not Run</x:v>
      </x:c>
      <x:c r="Y42" s="23" t="str">
        <x:v>Not Run</x:v>
      </x:c>
      <x:c r="Z42" s="23" t="str">
        <x:v>Not Run</x:v>
      </x:c>
      <x:c r="AA42" s="23" t="str">
        <x:v>Not Run</x:v>
      </x:c>
      <x:c r="AB42" s="23" t="str"/>
    </x:row>
    <x:row r="43">
      <x:c r="A43" s="23" t="str">
        <x:v>ORG-04</x:v>
      </x:c>
      <x:c r="B43" s="23" t="str">
        <x:v>W3 Entry and organization</x:v>
      </x:c>
      <x:c r="C43" s="26" t="n">
        <x:v>38</x:v>
      </x:c>
      <x:c r="D43" s="23" t="str">
        <x:v>Organization onboarding and application shell</x:v>
      </x:c>
      <x:c r="E43" s="23" t="str">
        <x:v>/onboarding to /dashboard</x:v>
      </x:c>
      <x:c r="F43" s="23" t="str">
        <x:v>New organization owner</x:v>
      </x:c>
      <x:c r="G43" s="23" t="str">
        <x:v>Newly universal modules depend on active Company or Branch and permissions, making stale capability and navigation state risky immediately after setup.</x:v>
      </x:c>
      <x:c r="H43" s="23" t="str">
        <x:v>Refresh authentication context, module capabilities, and owner Employee context before entering Dashboard; show a readiness summary for unavailable dependency-backed modules.</x:v>
      </x:c>
      <x:c r="I43" s="23" t="str">
        <x:v>UX/UI and workflow</x:v>
      </x:c>
      <x:c r="J43" s="23" t="str">
        <x:v>P1</x:v>
      </x:c>
      <x:c r="K43" s="23" t="str">
        <x:v>W0-11,ORG-02,ORG-03</x:v>
      </x:c>
      <x:c r="L43" s="23" t="str">
        <x:v>The first Dashboard render has correct menu visibility and module state without logout or reload; unavailable modules show actual blockers rather than silently disappearing.</x:v>
      </x:c>
      <x:c r="M43" s="23" t="str">
        <x:v>Run fresh registration with production-equivalent universal and restricted flag configurations.</x:v>
      </x:c>
      <x:c r="N43" s="23" t="str">
        <x:v>Implemented / improvement needed</x:v>
      </x:c>
      <x:c r="O43" s="23" t="str">
        <x:v>Backlog</x:v>
      </x:c>
      <x:c r="P43" s="23" t="str">
        <x:v>Not Run</x:v>
      </x:c>
      <x:c r="Q43" s="23" t="str">
        <x:v>Not Run</x:v>
      </x:c>
      <x:c r="R43" s="23" t="str">
        <x:v>Not Run</x:v>
      </x:c>
      <x:c r="S43" s="23" t="str">
        <x:v>Backlog</x:v>
      </x:c>
      <x:c r="T43" s="29" t="str"/>
      <x:c r="U43" s="32" t="str"/>
      <x:c r="V43" s="23" t="str">
        <x:v>Recent code review and current source</x:v>
      </x:c>
      <x:c r="W43" s="23" t="str">
        <x:v>Not Run</x:v>
      </x:c>
      <x:c r="X43" s="23" t="str">
        <x:v>Not Run</x:v>
      </x:c>
      <x:c r="Y43" s="23" t="str">
        <x:v>Not Run</x:v>
      </x:c>
      <x:c r="Z43" s="23" t="str">
        <x:v>Not Run</x:v>
      </x:c>
      <x:c r="AA43" s="23" t="str">
        <x:v>Not Run</x:v>
      </x:c>
      <x:c r="AB43" s="23" t="str"/>
    </x:row>
    <x:row r="44">
      <x:c r="A44" s="23" t="str">
        <x:v>DASH-01</x:v>
      </x:c>
      <x:c r="B44" s="23" t="str">
        <x:v>W4 Dashboard and workspace</x:v>
      </x:c>
      <x:c r="C44" s="26" t="n">
        <x:v>39</x:v>
      </x:c>
      <x:c r="D44" s="23" t="str">
        <x:v>Dashboard</x:v>
      </x:c>
      <x:c r="E44" s="23" t="str">
        <x:v>/dashboard</x:v>
      </x:c>
      <x:c r="F44" s="23" t="str">
        <x:v>Owner or Admin, HR, Manager, and Employee</x:v>
      </x:c>
      <x:c r="G44" s="23" t="str">
        <x:v>One manager-oriented layout is used broadly, while several KPI cards are informational rather than direct work entry points.</x:v>
      </x:c>
      <x:c r="H44" s="23" t="str">
        <x:v>Compose permitted widgets by persona and make each pending or KPI item link to its scoped filtered queue.</x:v>
      </x:c>
      <x:c r="I44" s="23" t="str">
        <x:v>UX/UI and workflow</x:v>
      </x:c>
      <x:c r="J44" s="23" t="str">
        <x:v>P2</x:v>
      </x:c>
      <x:c r="K44" s="23" t="str">
        <x:v>W0-11,UX-02,UX-04</x:v>
      </x:c>
      <x:c r="L44" s="23" t="str">
        <x:v>Each persona sees only relevant work and every actionable count has a matching destination and result set.</x:v>
      </x:c>
      <x:c r="M44" s="23" t="str">
        <x:v>Run a four-persona browser comparison and deep-link and filter tests.</x:v>
      </x:c>
      <x:c r="N44" s="23" t="str">
        <x:v>Implemented / improvement needed</x:v>
      </x:c>
      <x:c r="O44" s="23" t="str">
        <x:v>Backlog</x:v>
      </x:c>
      <x:c r="P44" s="23" t="str">
        <x:v>Not Run</x:v>
      </x:c>
      <x:c r="Q44" s="23" t="str">
        <x:v>Not Run</x:v>
      </x:c>
      <x:c r="R44" s="23" t="str">
        <x:v>Not Run</x:v>
      </x:c>
      <x:c r="S44" s="23" t="str">
        <x:v>Backlog</x:v>
      </x:c>
      <x:c r="T44" s="29" t="str"/>
      <x:c r="U44" s="32" t="str"/>
      <x:c r="V44" s="23" t="str">
        <x:v>Recent code review and current source</x:v>
      </x:c>
      <x:c r="W44" s="23" t="str">
        <x:v>Not Run</x:v>
      </x:c>
      <x:c r="X44" s="23" t="str">
        <x:v>Not Run</x:v>
      </x:c>
      <x:c r="Y44" s="23" t="str">
        <x:v>Not Run</x:v>
      </x:c>
      <x:c r="Z44" s="23" t="str">
        <x:v>Not Run</x:v>
      </x:c>
      <x:c r="AA44" s="23" t="str">
        <x:v>Not Run</x:v>
      </x:c>
      <x:c r="AB44" s="23" t="str"/>
    </x:row>
    <x:row r="45">
      <x:c r="A45" s="23" t="str">
        <x:v>DASH-02</x:v>
      </x:c>
      <x:c r="B45" s="23" t="str">
        <x:v>W4 Dashboard and workspace</x:v>
      </x:c>
      <x:c r="C45" s="26" t="n">
        <x:v>40</x:v>
      </x:c>
      <x:c r="D45" s="23" t="str">
        <x:v>Dashboard data aggregation</x:v>
      </x:c>
      <x:c r="E45" s="23" t="str">
        <x:v>/dashboard</x:v>
      </x:c>
      <x:c r="F45" s="23" t="str">
        <x:v>All Dashboard users</x:v>
      </x:c>
      <x:c r="G45" s="23" t="str">
        <x:v>Onboarding and Timesheet fetch failures are caught and returned as empty lists, making outage, 403, module-disabled, and no-work states indistinguishable.</x:v>
      </x:c>
      <x:c r="H45" s="23" t="str">
        <x:v>Return per-widget availability and error metadata and show Retry, Not enabled, or Not authorized states.</x:v>
      </x:c>
      <x:c r="I45" s="23" t="str">
        <x:v>UX/UI and workflow</x:v>
      </x:c>
      <x:c r="J45" s="23" t="str">
        <x:v>P1</x:v>
      </x:c>
      <x:c r="K45" s="23" t="str">
        <x:v>W0-11,UX-04</x:v>
      </x:c>
      <x:c r="L45" s="23" t="str">
        <x:v>Empty means a successful zero-result response only, and one failing widget does not hide healthy widgets.</x:v>
      </x:c>
      <x:c r="M45" s="23" t="str">
        <x:v>Run API failure, 403, disabled-module, and successful-empty scenarios.</x:v>
      </x:c>
      <x:c r="N45" s="23" t="str">
        <x:v>Implemented / gated</x:v>
      </x:c>
      <x:c r="O45" s="23" t="str">
        <x:v>Backlog</x:v>
      </x:c>
      <x:c r="P45" s="23" t="str">
        <x:v>Not Run</x:v>
      </x:c>
      <x:c r="Q45" s="23" t="str">
        <x:v>Not Run</x:v>
      </x:c>
      <x:c r="R45" s="23" t="str">
        <x:v>Not Run</x:v>
      </x:c>
      <x:c r="S45" s="23" t="str">
        <x:v>Backlog</x:v>
      </x:c>
      <x:c r="T45" s="29" t="str"/>
      <x:c r="U45" s="32" t="str"/>
      <x:c r="V45" s="23" t="str">
        <x:v>Recent code review and current source</x:v>
      </x:c>
      <x:c r="W45" s="23" t="str">
        <x:v>Not Run</x:v>
      </x:c>
      <x:c r="X45" s="23" t="str">
        <x:v>Not Run</x:v>
      </x:c>
      <x:c r="Y45" s="23" t="str">
        <x:v>Not Run</x:v>
      </x:c>
      <x:c r="Z45" s="23" t="str">
        <x:v>Not Run</x:v>
      </x:c>
      <x:c r="AA45" s="23" t="str">
        <x:v>Not Run</x:v>
      </x:c>
      <x:c r="AB45" s="23" t="str"/>
    </x:row>
    <x:row r="46">
      <x:c r="A46" s="23" t="str">
        <x:v>MY-01</x:v>
      </x:c>
      <x:c r="B46" s="23" t="str">
        <x:v>W4 Dashboard and workspace</x:v>
      </x:c>
      <x:c r="C46" s="26" t="n">
        <x:v>41</x:v>
      </x:c>
      <x:c r="D46" s="23" t="str">
        <x:v>Employee self-service</x:v>
      </x:c>
      <x:c r="E46" s="23" t="str">
        <x:v>/my-workspace plus existing onboarding, hr-requests, approvals, projects, and timesheets child routes</x:v>
      </x:c>
      <x:c r="F46" s="23" t="str">
        <x:v>Employee</x:v>
      </x:c>
      <x:c r="G46" s="23" t="str">
        <x:v>Overview renders many workforce, recruitment, and self-service panels in one long flow.</x:v>
      </x:c>
      <x:c r="H46" s="23" t="str">
        <x:v>Keep Overview focused on Today and urgent actions, moving detailed histories and actions to existing child routes.</x:v>
      </x:c>
      <x:c r="I46" s="23" t="str">
        <x:v>UX/UI and workflow</x:v>
      </x:c>
      <x:c r="J46" s="23" t="str">
        <x:v>P2</x:v>
      </x:c>
      <x:c r="K46" s="23" t="str">
        <x:v>UX-02,DASH-01</x:v>
      </x:c>
      <x:c r="L46" s="23" t="str">
        <x:v>Overview has a short priority sequence, each card has one clear destination, and existing child URLs and business flows remain unchanged.</x:v>
      </x:c>
      <x:c r="M46" s="23" t="str">
        <x:v>Run Employee usability, browser-history, mobile, and 200 percent zoom tests.</x:v>
      </x:c>
      <x:c r="N46" s="23" t="str">
        <x:v>Implemented / improvement needed</x:v>
      </x:c>
      <x:c r="O46" s="23" t="str">
        <x:v>Backlog</x:v>
      </x:c>
      <x:c r="P46" s="23" t="str">
        <x:v>Not Run</x:v>
      </x:c>
      <x:c r="Q46" s="23" t="str">
        <x:v>Not Run</x:v>
      </x:c>
      <x:c r="R46" s="23" t="str">
        <x:v>Not Run</x:v>
      </x:c>
      <x:c r="S46" s="23" t="str">
        <x:v>Backlog</x:v>
      </x:c>
      <x:c r="T46" s="29" t="str"/>
      <x:c r="U46" s="32" t="str"/>
      <x:c r="V46" s="23" t="str">
        <x:v>Recent code review and current source</x:v>
      </x:c>
      <x:c r="W46" s="23" t="str">
        <x:v>Not Run</x:v>
      </x:c>
      <x:c r="X46" s="23" t="str">
        <x:v>Not Run</x:v>
      </x:c>
      <x:c r="Y46" s="23" t="str">
        <x:v>Not Run</x:v>
      </x:c>
      <x:c r="Z46" s="23" t="str">
        <x:v>Not Run</x:v>
      </x:c>
      <x:c r="AA46" s="23" t="str">
        <x:v>Not Run</x:v>
      </x:c>
      <x:c r="AB46" s="23" t="str"/>
    </x:row>
    <x:row r="47">
      <x:c r="A47" s="23" t="str">
        <x:v>MY-02</x:v>
      </x:c>
      <x:c r="B47" s="23" t="str">
        <x:v>W4 Dashboard and workspace</x:v>
      </x:c>
      <x:c r="C47" s="26" t="n">
        <x:v>42</x:v>
      </x:c>
      <x:c r="D47" s="23" t="str">
        <x:v>My Workspace</x:v>
      </x:c>
      <x:c r="E47" s="23" t="str">
        <x:v>/my-workspace and child routes</x:v>
      </x:c>
      <x:c r="F47" s="23" t="str">
        <x:v>Employee and organization owner</x:v>
      </x:c>
      <x:c r="G47" s="23" t="str">
        <x:v>A missing Employee link produces a generic terminal empty state without ownership or remediation.</x:v>
      </x:c>
      <x:c r="H47" s="23" t="str">
        <x:v>Show whether the account is awaiting linkage, requires Admin repair, or lacks module capability, with only permitted next actions.</x:v>
      </x:c>
      <x:c r="I47" s="23" t="str">
        <x:v>UX/UI and workflow</x:v>
      </x:c>
      <x:c r="J47" s="23" t="str">
        <x:v>P1</x:v>
      </x:c>
      <x:c r="K47" s="23" t="str">
        <x:v>ORG-03,UX-04</x:v>
      </x:c>
      <x:c r="L47" s="23" t="str">
        <x:v>Each state has a distinct message and action, no unauthorized repair control is offered, and successful repair updates the current session.</x:v>
      </x:c>
      <x:c r="M47" s="23" t="str">
        <x:v>Run invited employee, owner-link failure, disabled module, and valid employee scenarios.</x:v>
      </x:c>
      <x:c r="N47" s="23" t="str">
        <x:v>Implemented / improvement needed</x:v>
      </x:c>
      <x:c r="O47" s="23" t="str">
        <x:v>Backlog</x:v>
      </x:c>
      <x:c r="P47" s="23" t="str">
        <x:v>Not Run</x:v>
      </x:c>
      <x:c r="Q47" s="23" t="str">
        <x:v>Not Run</x:v>
      </x:c>
      <x:c r="R47" s="23" t="str">
        <x:v>Not Run</x:v>
      </x:c>
      <x:c r="S47" s="23" t="str">
        <x:v>Backlog</x:v>
      </x:c>
      <x:c r="T47" s="29" t="str"/>
      <x:c r="U47" s="32" t="str"/>
      <x:c r="V47" s="23" t="str">
        <x:v>Recent code review and current source</x:v>
      </x:c>
      <x:c r="W47" s="23" t="str">
        <x:v>Not Run</x:v>
      </x:c>
      <x:c r="X47" s="23" t="str">
        <x:v>Not Run</x:v>
      </x:c>
      <x:c r="Y47" s="23" t="str">
        <x:v>Not Run</x:v>
      </x:c>
      <x:c r="Z47" s="23" t="str">
        <x:v>Not Run</x:v>
      </x:c>
      <x:c r="AA47" s="23" t="str">
        <x:v>Not Run</x:v>
      </x:c>
      <x:c r="AB47" s="23" t="str"/>
    </x:row>
    <x:row r="48">
      <x:c r="A48" s="23" t="str">
        <x:v>ADM-01</x:v>
      </x:c>
      <x:c r="B48" s="23" t="str">
        <x:v>W5 Administration and security</x:v>
      </x:c>
      <x:c r="C48" s="26" t="n">
        <x:v>43</x:v>
      </x:c>
      <x:c r="D48" s="23" t="str">
        <x:v>Administration</x:v>
      </x:c>
      <x:c r="E48" s="23" t="str">
        <x:v>Existing Administration menu and list pages</x:v>
      </x:c>
      <x:c r="F48" s="23" t="str">
        <x:v>Organization administrator</x:v>
      </x:c>
      <x:c r="G48" s="23" t="str">
        <x:v>Company Group, Company, Branch, Department, Designation, Shift, and Calendar appear as independent lists without dependency guidance.</x:v>
      </x:c>
      <x:c r="H48" s="23" t="str">
        <x:v>Add a lightweight readiness panel or checklist linking the existing routes in business order.</x:v>
      </x:c>
      <x:c r="I48" s="23" t="str">
        <x:v>UX/UI and workflow</x:v>
      </x:c>
      <x:c r="J48" s="23" t="str">
        <x:v>P2</x:v>
      </x:c>
      <x:c r="K48" s="23" t="str">
        <x:v>UX-02,ORG-04</x:v>
      </x:c>
      <x:c r="L48" s="23" t="str">
        <x:v>Missing prerequisites and the next valid setup action are visible without inventing a new business workflow.</x:v>
      </x:c>
      <x:c r="M48" s="23" t="str">
        <x:v>Walk through empty organization, partially configured, and completed setup states.</x:v>
      </x:c>
      <x:c r="N48" s="23" t="str">
        <x:v>Implemented / improvement needed</x:v>
      </x:c>
      <x:c r="O48" s="23" t="str">
        <x:v>Backlog</x:v>
      </x:c>
      <x:c r="P48" s="23" t="str">
        <x:v>Not Run</x:v>
      </x:c>
      <x:c r="Q48" s="23" t="str">
        <x:v>Not Run</x:v>
      </x:c>
      <x:c r="R48" s="23" t="str">
        <x:v>Not Run</x:v>
      </x:c>
      <x:c r="S48" s="23" t="str">
        <x:v>Backlog</x:v>
      </x:c>
      <x:c r="T48" s="29" t="str"/>
      <x:c r="U48" s="32" t="str"/>
      <x:c r="V48" s="23" t="str">
        <x:v>Recent code review and current source</x:v>
      </x:c>
      <x:c r="W48" s="23" t="str">
        <x:v>Not Run</x:v>
      </x:c>
      <x:c r="X48" s="23" t="str">
        <x:v>Not Run</x:v>
      </x:c>
      <x:c r="Y48" s="23" t="str">
        <x:v>Not Run</x:v>
      </x:c>
      <x:c r="Z48" s="23" t="str">
        <x:v>Not Run</x:v>
      </x:c>
      <x:c r="AA48" s="23" t="str">
        <x:v>Not Run</x:v>
      </x:c>
      <x:c r="AB48" s="23" t="str"/>
    </x:row>
    <x:row r="49">
      <x:c r="A49" s="23" t="str">
        <x:v>ADM-02</x:v>
      </x:c>
      <x:c r="B49" s="23" t="str">
        <x:v>W5 Administration and security</x:v>
      </x:c>
      <x:c r="C49" s="26" t="n">
        <x:v>44</x:v>
      </x:c>
      <x:c r="D49" s="23" t="str">
        <x:v>Companies</x:v>
      </x:c>
      <x:c r="E49" s="23" t="str">
        <x:v>New /administration/companies/new and /administration/companies/[id]/edit</x:v>
      </x:c>
      <x:c r="F49" s="23" t="str">
        <x:v>Company administrator</x:v>
      </x:c>
      <x:c r="G49" s="23" t="str">
        <x:v>Company create and edit are handled in a form dialog.</x:v>
      </x:c>
      <x:c r="H49" s="23" t="str">
        <x:v>Use full-page form routes while preserving /administration/companies as the list and confirmation dialogs for destructive status actions.</x:v>
      </x:c>
      <x:c r="I49" s="23" t="str">
        <x:v>UX/UI and implementation</x:v>
      </x:c>
      <x:c r="J49" s="23" t="str">
        <x:v>P2</x:v>
      </x:c>
      <x:c r="K49" s="23" t="str">
        <x:v>UX-01,UX-03,UX-05</x:v>
      </x:c>
      <x:c r="L49" s="23" t="str">
        <x:v>Direct load, safe cancel or back, unsaved warning, scoped update, and list refresh work.</x:v>
      </x:c>
      <x:c r="M49" s="23" t="str">
        <x:v>Run permission, Company Group scope, duplicate and conflict, responsive, and history tests.</x:v>
      </x:c>
      <x:c r="N49" s="23" t="str">
        <x:v>Implemented / improvement needed</x:v>
      </x:c>
      <x:c r="O49" s="23" t="str">
        <x:v>Backlog</x:v>
      </x:c>
      <x:c r="P49" s="23" t="str">
        <x:v>Not Run</x:v>
      </x:c>
      <x:c r="Q49" s="23" t="str">
        <x:v>Not Run</x:v>
      </x:c>
      <x:c r="R49" s="23" t="str">
        <x:v>Not Run</x:v>
      </x:c>
      <x:c r="S49" s="23" t="str">
        <x:v>Backlog</x:v>
      </x:c>
      <x:c r="T49" s="29" t="str"/>
      <x:c r="U49" s="32" t="str"/>
      <x:c r="V49" s="23" t="str">
        <x:v>Recent code review and current source</x:v>
      </x:c>
      <x:c r="W49" s="23" t="str">
        <x:v>Not Run</x:v>
      </x:c>
      <x:c r="X49" s="23" t="str">
        <x:v>Not Run</x:v>
      </x:c>
      <x:c r="Y49" s="23" t="str">
        <x:v>Not Run</x:v>
      </x:c>
      <x:c r="Z49" s="23" t="str">
        <x:v>Not Run</x:v>
      </x:c>
      <x:c r="AA49" s="23" t="str">
        <x:v>Not Run</x:v>
      </x:c>
      <x:c r="AB49" s="23" t="str"/>
    </x:row>
    <x:row r="50">
      <x:c r="A50" s="23" t="str">
        <x:v>ADM-03</x:v>
      </x:c>
      <x:c r="B50" s="23" t="str">
        <x:v>W5 Administration and security</x:v>
      </x:c>
      <x:c r="C50" s="26" t="n">
        <x:v>45</x:v>
      </x:c>
      <x:c r="D50" s="23" t="str">
        <x:v>Branches</x:v>
      </x:c>
      <x:c r="E50" s="23" t="str">
        <x:v>New /administration/branches/new and /administration/branches/[id]/edit</x:v>
      </x:c>
      <x:c r="F50" s="23" t="str">
        <x:v>Branch administrator</x:v>
      </x:c>
      <x:c r="G50" s="23" t="str">
        <x:v>Branch master is edited in a dialog while working-days configuration uses a separate sheet, obscuring the sequence.</x:v>
      </x:c>
      <x:c r="H50" s="23" t="str">
        <x:v>Put Branch master creation and edit on pages and link the existing working-days action as a distinct follow-up.</x:v>
      </x:c>
      <x:c r="I50" s="23" t="str">
        <x:v>UX/UI and workflow</x:v>
      </x:c>
      <x:c r="J50" s="23" t="str">
        <x:v>P2</x:v>
      </x:c>
      <x:c r="K50" s="23" t="str">
        <x:v>UX-01,UX-03,UX-05</x:v>
      </x:c>
      <x:c r="L50" s="23" t="str">
        <x:v>Company is explicit, successful create offers Configure working days, and no Branch can be edited outside scope.</x:v>
      </x:c>
      <x:c r="M50" s="23" t="str">
        <x:v>Run multi-company and Branch permission and follow-up navigation tests.</x:v>
      </x:c>
      <x:c r="N50" s="23" t="str">
        <x:v>Implemented / improvement needed</x:v>
      </x:c>
      <x:c r="O50" s="23" t="str">
        <x:v>Backlog</x:v>
      </x:c>
      <x:c r="P50" s="23" t="str">
        <x:v>Not Run</x:v>
      </x:c>
      <x:c r="Q50" s="23" t="str">
        <x:v>Not Run</x:v>
      </x:c>
      <x:c r="R50" s="23" t="str">
        <x:v>Not Run</x:v>
      </x:c>
      <x:c r="S50" s="23" t="str">
        <x:v>Backlog</x:v>
      </x:c>
      <x:c r="T50" s="29" t="str"/>
      <x:c r="U50" s="32" t="str"/>
      <x:c r="V50" s="23" t="str">
        <x:v>Recent code review and current source</x:v>
      </x:c>
      <x:c r="W50" s="23" t="str">
        <x:v>Not Run</x:v>
      </x:c>
      <x:c r="X50" s="23" t="str">
        <x:v>Not Run</x:v>
      </x:c>
      <x:c r="Y50" s="23" t="str">
        <x:v>Not Run</x:v>
      </x:c>
      <x:c r="Z50" s="23" t="str">
        <x:v>Not Run</x:v>
      </x:c>
      <x:c r="AA50" s="23" t="str">
        <x:v>Not Run</x:v>
      </x:c>
      <x:c r="AB50" s="23" t="str"/>
    </x:row>
    <x:row r="51">
      <x:c r="A51" s="23" t="str">
        <x:v>ADM-04</x:v>
      </x:c>
      <x:c r="B51" s="23" t="str">
        <x:v>W5 Administration and security</x:v>
      </x:c>
      <x:c r="C51" s="26" t="n">
        <x:v>46</x:v>
      </x:c>
      <x:c r="D51" s="23" t="str">
        <x:v>Departments</x:v>
      </x:c>
      <x:c r="E51" s="23" t="str">
        <x:v>New /administration/departments/new and /administration/departments/[id]/edit</x:v>
      </x:c>
      <x:c r="F51" s="23" t="str">
        <x:v>Organization structure manager</x:v>
      </x:c>
      <x:c r="G51" s="23" t="str">
        <x:v>Department create and edit are handled in a dialog despite Company and Branch dependency and later onboarding usage.</x:v>
      </x:c>
      <x:c r="H51" s="23" t="str">
        <x:v>Add full pages with explicit Company then Branch selection and dependency explanation.</x:v>
      </x:c>
      <x:c r="I51" s="23" t="str">
        <x:v>UX/UI and implementation</x:v>
      </x:c>
      <x:c r="J51" s="23" t="str">
        <x:v>P2</x:v>
      </x:c>
      <x:c r="K51" s="23" t="str">
        <x:v>UX-01,UX-03,UX-05</x:v>
      </x:c>
      <x:c r="L51" s="23" t="str">
        <x:v>Only in-scope Branches are selectable, dependent selection resets safely, and successful save returns to the filtered list.</x:v>
      </x:c>
      <x:c r="M51" s="23" t="str">
        <x:v>Run cross-tenant and Branch negative tests plus keyboard and responsive UAT.</x:v>
      </x:c>
      <x:c r="N51" s="23" t="str">
        <x:v>Implemented / improvement needed</x:v>
      </x:c>
      <x:c r="O51" s="23" t="str">
        <x:v>Backlog</x:v>
      </x:c>
      <x:c r="P51" s="23" t="str">
        <x:v>Not Run</x:v>
      </x:c>
      <x:c r="Q51" s="23" t="str">
        <x:v>Not Run</x:v>
      </x:c>
      <x:c r="R51" s="23" t="str">
        <x:v>Not Run</x:v>
      </x:c>
      <x:c r="S51" s="23" t="str">
        <x:v>Backlog</x:v>
      </x:c>
      <x:c r="T51" s="29" t="str"/>
      <x:c r="U51" s="32" t="str"/>
      <x:c r="V51" s="23" t="str">
        <x:v>Recent code review and current source</x:v>
      </x:c>
      <x:c r="W51" s="23" t="str">
        <x:v>Not Run</x:v>
      </x:c>
      <x:c r="X51" s="23" t="str">
        <x:v>Not Run</x:v>
      </x:c>
      <x:c r="Y51" s="23" t="str">
        <x:v>Not Run</x:v>
      </x:c>
      <x:c r="Z51" s="23" t="str">
        <x:v>Not Run</x:v>
      </x:c>
      <x:c r="AA51" s="23" t="str">
        <x:v>Not Run</x:v>
      </x:c>
      <x:c r="AB51" s="23" t="str"/>
    </x:row>
    <x:row r="52">
      <x:c r="A52" s="23" t="str">
        <x:v>SEC-01</x:v>
      </x:c>
      <x:c r="B52" s="23" t="str">
        <x:v>W5 Administration and security</x:v>
      </x:c>
      <x:c r="C52" s="26" t="n">
        <x:v>47</x:v>
      </x:c>
      <x:c r="D52" s="23" t="str">
        <x:v>Users</x:v>
      </x:c>
      <x:c r="E52" s="23" t="str">
        <x:v>New /administration/users/new and /administration/users/[id]/access</x:v>
      </x:c>
      <x:c r="F52" s="23" t="str">
        <x:v>Security administrator</x:v>
      </x:c>
      <x:c r="G52" s="23" t="str">
        <x:v>User invitation and role assignments are dense sheets with limited room to understand scope impact.</x:v>
      </x:c>
      <x:c r="H52" s="23" t="str">
        <x:v>Use full pages for invitation and access editing; retain short session and revoke confirmations as dialogs.</x:v>
      </x:c>
      <x:c r="I52" s="23" t="str">
        <x:v>UX/UI and implementation</x:v>
      </x:c>
      <x:c r="J52" s="23" t="str">
        <x:v>P1</x:v>
      </x:c>
      <x:c r="K52" s="23" t="str">
        <x:v>UX-01,UX-04,UX-05</x:v>
      </x:c>
      <x:c r="L52" s="23" t="str">
        <x:v>Employee linkage, roles, and scope are reviewed before submit, the invitation result is production-safe, and changing access invalidates sessions as designed.</x:v>
      </x:c>
      <x:c r="M52" s="23" t="str">
        <x:v>Run tenant Admin, global Admin, and read-only personas plus email delivery and session-revocation UAT.</x:v>
      </x:c>
      <x:c r="N52" s="23" t="str">
        <x:v>Implemented / improvement needed</x:v>
      </x:c>
      <x:c r="O52" s="23" t="str">
        <x:v>Backlog</x:v>
      </x:c>
      <x:c r="P52" s="23" t="str">
        <x:v>Not Run</x:v>
      </x:c>
      <x:c r="Q52" s="23" t="str">
        <x:v>Not Run</x:v>
      </x:c>
      <x:c r="R52" s="23" t="str">
        <x:v>Not Run</x:v>
      </x:c>
      <x:c r="S52" s="23" t="str">
        <x:v>Backlog</x:v>
      </x:c>
      <x:c r="T52" s="29" t="str"/>
      <x:c r="U52" s="32" t="str"/>
      <x:c r="V52" s="23" t="str">
        <x:v>Recent code review and current source</x:v>
      </x:c>
      <x:c r="W52" s="23" t="str">
        <x:v>Not Run</x:v>
      </x:c>
      <x:c r="X52" s="23" t="str">
        <x:v>Not Run</x:v>
      </x:c>
      <x:c r="Y52" s="23" t="str">
        <x:v>Not Run</x:v>
      </x:c>
      <x:c r="Z52" s="23" t="str">
        <x:v>Not Run</x:v>
      </x:c>
      <x:c r="AA52" s="23" t="str">
        <x:v>Not Run</x:v>
      </x:c>
      <x:c r="AB52" s="23" t="str"/>
    </x:row>
    <x:row r="53">
      <x:c r="A53" s="23" t="str">
        <x:v>SEC-02</x:v>
      </x:c>
      <x:c r="B53" s="23" t="str">
        <x:v>W5 Administration and security</x:v>
      </x:c>
      <x:c r="C53" s="26" t="n">
        <x:v>48</x:v>
      </x:c>
      <x:c r="D53" s="23" t="str">
        <x:v>Roles and Permissions</x:v>
      </x:c>
      <x:c r="E53" s="23" t="str">
        <x:v>New /administration/security/roles/new and /administration/security/roles/[id]/edit</x:v>
      </x:c>
      <x:c r="F53" s="23" t="str">
        <x:v>Security administrator</x:v>
      </x:c>
      <x:c r="G53" s="23" t="str">
        <x:v>Large permission selection is confined to a sheet and exposes technical codes without a clear business-impact review.</x:v>
      </x:c>
      <x:c r="H53" s="23" t="str">
        <x:v>Add searchable, module-grouped full-page role editing with protected system-role behaviour unchanged.</x:v>
      </x:c>
      <x:c r="I53" s="23" t="str">
        <x:v>UX/UI and workflow</x:v>
      </x:c>
      <x:c r="J53" s="23" t="str">
        <x:v>P1</x:v>
      </x:c>
      <x:c r="K53" s="23" t="str">
        <x:v>UX-01,UX-04,UX-05</x:v>
      </x:c>
      <x:c r="L53" s="23" t="str">
        <x:v>Permissions can be reviewed by module, system roles cannot be mutated, and unsupported platform permissions remain unavailable.</x:v>
      </x:c>
      <x:c r="M53" s="23" t="str">
        <x:v>Run create, clone, edit, and deactivate tests plus keyboard, 200 percent zoom, and privilege-escalation negative tests.</x:v>
      </x:c>
      <x:c r="N53" s="23" t="str">
        <x:v>Implemented / improvement needed</x:v>
      </x:c>
      <x:c r="O53" s="23" t="str">
        <x:v>Backlog</x:v>
      </x:c>
      <x:c r="P53" s="23" t="str">
        <x:v>Not Run</x:v>
      </x:c>
      <x:c r="Q53" s="23" t="str">
        <x:v>Not Run</x:v>
      </x:c>
      <x:c r="R53" s="23" t="str">
        <x:v>Not Run</x:v>
      </x:c>
      <x:c r="S53" s="23" t="str">
        <x:v>Backlog</x:v>
      </x:c>
      <x:c r="T53" s="29" t="str"/>
      <x:c r="U53" s="32" t="str"/>
      <x:c r="V53" s="23" t="str">
        <x:v>Recent code review and current source</x:v>
      </x:c>
      <x:c r="W53" s="23" t="str">
        <x:v>Not Run</x:v>
      </x:c>
      <x:c r="X53" s="23" t="str">
        <x:v>Not Run</x:v>
      </x:c>
      <x:c r="Y53" s="23" t="str">
        <x:v>Not Run</x:v>
      </x:c>
      <x:c r="Z53" s="23" t="str">
        <x:v>Not Run</x:v>
      </x:c>
      <x:c r="AA53" s="23" t="str">
        <x:v>Not Run</x:v>
      </x:c>
      <x:c r="AB53" s="23" t="str"/>
    </x:row>
    <x:row r="54">
      <x:c r="A54" s="23" t="str">
        <x:v>SEC-03</x:v>
      </x:c>
      <x:c r="B54" s="23" t="str">
        <x:v>W5 Administration and security</x:v>
      </x:c>
      <x:c r="C54" s="26" t="n">
        <x:v>49</x:v>
      </x:c>
      <x:c r="D54" s="23" t="str">
        <x:v>Users and Roles</x:v>
      </x:c>
      <x:c r="E54" s="23" t="str">
        <x:v>/administration/users/[id]/access and role pages</x:v>
      </x:c>
      <x:c r="F54" s="23" t="str">
        <x:v>Security administrator and auditor</x:v>
      </x:c>
      <x:c r="G54" s="23" t="str">
        <x:v>Assignments show raw scope mechanics but do not summarize effective Company or Branch access or consequences.</x:v>
      </x:c>
      <x:c r="H54" s="23" t="str">
        <x:v>Before save, display a human-readable effective-access summary, affected Companies and Branches, role changes, and session revocation; record the same change in audit evidence.</x:v>
      </x:c>
      <x:c r="I54" s="23" t="str">
        <x:v>UX/UI and workflow</x:v>
      </x:c>
      <x:c r="J54" s="23" t="str">
        <x:v>P1</x:v>
      </x:c>
      <x:c r="K54" s="23" t="str">
        <x:v>SEC-01,SEC-02</x:v>
      </x:c>
      <x:c r="L54" s="23" t="str">
        <x:v>The preview matches the backend-authorized scope after save, widening access requires explicit confirmation, and audit history identifies actor, subject, before and after values, and time.</x:v>
      </x:c>
      <x:c r="M54" s="23" t="str">
        <x:v>Run scope expansion and reduction, multiple-role, session-refresh, and cross-tenant tests.</x:v>
      </x:c>
      <x:c r="N54" s="23" t="str">
        <x:v>Implemented / improvement needed</x:v>
      </x:c>
      <x:c r="O54" s="23" t="str">
        <x:v>Backlog</x:v>
      </x:c>
      <x:c r="P54" s="23" t="str">
        <x:v>Not Run</x:v>
      </x:c>
      <x:c r="Q54" s="23" t="str">
        <x:v>Not Run</x:v>
      </x:c>
      <x:c r="R54" s="23" t="str">
        <x:v>Not Run</x:v>
      </x:c>
      <x:c r="S54" s="23" t="str">
        <x:v>Backlog</x:v>
      </x:c>
      <x:c r="T54" s="29" t="str"/>
      <x:c r="U54" s="32" t="str"/>
      <x:c r="V54" s="23" t="str">
        <x:v>Recent code review and current source</x:v>
      </x:c>
      <x:c r="W54" s="23" t="str">
        <x:v>Not Run</x:v>
      </x:c>
      <x:c r="X54" s="23" t="str">
        <x:v>Not Run</x:v>
      </x:c>
      <x:c r="Y54" s="23" t="str">
        <x:v>Not Run</x:v>
      </x:c>
      <x:c r="Z54" s="23" t="str">
        <x:v>Not Run</x:v>
      </x:c>
      <x:c r="AA54" s="23" t="str">
        <x:v>Not Run</x:v>
      </x:c>
      <x:c r="AB54" s="23" t="str"/>
    </x:row>
    <x:row r="55">
      <x:c r="A55" s="23" t="str">
        <x:v>DOC-001</x:v>
      </x:c>
      <x:c r="B55" s="23" t="str">
        <x:v>W6 Employees and documents</x:v>
      </x:c>
      <x:c r="C55" s="26" t="n">
        <x:v>50</x:v>
      </x:c>
      <x:c r="D55" s="23" t="str">
        <x:v>Employee Documents</x:v>
      </x:c>
      <x:c r="E55" s="23" t="str">
        <x:v>/hr/employee-document-categories, /hr/employee-document-types, /hr/employee-documents</x:v>
      </x:c>
      <x:c r="F55" s="23" t="str">
        <x:v>HR Document Admin</x:v>
      </x:c>
      <x:c r="G55" s="23" t="str">
        <x:v>[Partial] Category, type, and document registration rely on FormSheet drawers, and the setup order is not obvious.</x:v>
      </x:c>
      <x:c r="H55" s="23" t="str">
        <x:v>Replace create/edit drawers with dedicated pages; add Category to Type to Employee Document readiness guidance and contextual create-prerequisite links.</x:v>
      </x:c>
      <x:c r="I55" s="23" t="str">
        <x:v>UX/UI and implementation</x:v>
      </x:c>
      <x:c r="J55" s="23" t="str">
        <x:v>P1</x:v>
      </x:c>
      <x:c r="K55" s="23" t="str">
        <x:v>EMP-003; UX-01–UX-06</x:v>
      </x:c>
      <x:c r="L55" s="23" t="str">
        <x:v>Major document forms open as pages; a new tenant can complete setup without raw IDs or unexplained empty selectors.</x:v>
      </x:c>
      <x:c r="M55" s="23" t="str">
        <x:v>Not Run: route and component tests, browser setup flow, mobile review, keyboard review, and 200 percent zoom review.</x:v>
      </x:c>
      <x:c r="N55" s="23" t="str">
        <x:v>Partial</x:v>
      </x:c>
      <x:c r="O55" s="23" t="str">
        <x:v>Backlog</x:v>
      </x:c>
      <x:c r="P55" s="23" t="str">
        <x:v>Not Run</x:v>
      </x:c>
      <x:c r="Q55" s="23" t="str">
        <x:v>Not Run</x:v>
      </x:c>
      <x:c r="R55" s="23" t="str">
        <x:v>Not Run</x:v>
      </x:c>
      <x:c r="S55" s="23" t="str">
        <x:v>Backlog</x:v>
      </x:c>
      <x:c r="T55" s="29" t="str"/>
      <x:c r="U55" s="32" t="str"/>
      <x:c r="V55" s="23" t="str">
        <x:v>Current module source and workflow guide</x:v>
      </x:c>
      <x:c r="W55" s="23" t="str">
        <x:v>Not Run</x:v>
      </x:c>
      <x:c r="X55" s="23" t="str">
        <x:v>Not Run</x:v>
      </x:c>
      <x:c r="Y55" s="23" t="str">
        <x:v>Not Run</x:v>
      </x:c>
      <x:c r="Z55" s="23" t="str">
        <x:v>Not Run</x:v>
      </x:c>
      <x:c r="AA55" s="23" t="str">
        <x:v>Not Run</x:v>
      </x:c>
      <x:c r="AB55" s="23" t="str"/>
    </x:row>
    <x:row r="56">
      <x:c r="A56" s="23" t="str">
        <x:v>DOC-002</x:v>
      </x:c>
      <x:c r="B56" s="23" t="str">
        <x:v>W6 Employees and documents</x:v>
      </x:c>
      <x:c r="C56" s="26" t="n">
        <x:v>51</x:v>
      </x:c>
      <x:c r="D56" s="23" t="str">
        <x:v>Employee Documents</x:v>
      </x:c>
      <x:c r="E56" s="23" t="str">
        <x:v>Employee profile Documents and /hr/employee-documents</x:v>
      </x:c>
      <x:c r="F56" s="23" t="str">
        <x:v>HR Document Admin, Employee</x:v>
      </x:c>
      <x:c r="G56" s="23" t="str">
        <x:v>[Provider-dependent] Upload UI exists, but production success depends on File Storage, S3, and ClamAV; upload and scan states need one understandable lifecycle.</x:v>
      </x:c>
      <x:c r="H56" s="23" t="str">
        <x:v>Show upload progress and Pending scan, Clean, Infected, Failed, Scanner unavailable, and Retry states; keep download unavailable until server-authorized clean status.</x:v>
      </x:c>
      <x:c r="I56" s="23" t="str">
        <x:v>UX/UI and workflow</x:v>
      </x:c>
      <x:c r="J56" s="23" t="str">
        <x:v>P0</x:v>
      </x:c>
      <x:c r="K56" s="23" t="str">
        <x:v>DOC-001; ENV-002</x:v>
      </x:c>
      <x:c r="L56" s="23" t="str">
        <x:v>A clean file becomes downloadable; infected or unscanned files never are; retry does not duplicate the document; provider outage is shown as blocked rather than success.</x:v>
      </x:c>
      <x:c r="M56" s="23" t="str">
        <x:v>Not Run: production-setting API/browser test with real S3 and scanner, database/file audit, and negative MIME and size cases.</x:v>
      </x:c>
      <x:c r="N56" s="23" t="str">
        <x:v>Partial / provider-dependent</x:v>
      </x:c>
      <x:c r="O56" s="23" t="str">
        <x:v>Backlog</x:v>
      </x:c>
      <x:c r="P56" s="23" t="str">
        <x:v>Not Run</x:v>
      </x:c>
      <x:c r="Q56" s="23" t="str">
        <x:v>Not Run</x:v>
      </x:c>
      <x:c r="R56" s="23" t="str">
        <x:v>Not Run</x:v>
      </x:c>
      <x:c r="S56" s="23" t="str">
        <x:v>Backlog</x:v>
      </x:c>
      <x:c r="T56" s="29" t="str"/>
      <x:c r="U56" s="32" t="str"/>
      <x:c r="V56" s="23" t="str">
        <x:v>Current module source and workflow guide</x:v>
      </x:c>
      <x:c r="W56" s="23" t="str">
        <x:v>Not Run</x:v>
      </x:c>
      <x:c r="X56" s="23" t="str">
        <x:v>Not Run</x:v>
      </x:c>
      <x:c r="Y56" s="23" t="str">
        <x:v>Not Run</x:v>
      </x:c>
      <x:c r="Z56" s="23" t="str">
        <x:v>Not Run</x:v>
      </x:c>
      <x:c r="AA56" s="23" t="str">
        <x:v>Not Run</x:v>
      </x:c>
      <x:c r="AB56" s="23" t="str"/>
    </x:row>
    <x:row r="57">
      <x:c r="A57" s="23" t="str">
        <x:v>DOC-003</x:v>
      </x:c>
      <x:c r="B57" s="23" t="str">
        <x:v>W6 Employees and documents</x:v>
      </x:c>
      <x:c r="C57" s="26" t="n">
        <x:v>52</x:v>
      </x:c>
      <x:c r="D57" s="23" t="str">
        <x:v>Employee Documents</x:v>
      </x:c>
      <x:c r="E57" s="23" t="str">
        <x:v>Document verification panel and profile</x:v>
      </x:c>
      <x:c r="F57" s="23" t="str">
        <x:v>HR Verifier, read-only HR, Employee</x:v>
      </x:c>
      <x:c r="G57" s="23" t="str">
        <x:v>Verify, Reject, and Reset actions are displayed in multiple surfaces; rejection currently sends the fixed remark Rejected, and action visibility needs authoritative permission handling.</x:v>
      </x:c>
      <x:c r="H57" s="23" t="str">
        <x:v>Use a dedicated document detail page; collect a real rejection reason, show verifier and history, derive actions from server authorization, and retain confirmation dialogs only for short decisions.</x:v>
      </x:c>
      <x:c r="I57" s="23" t="str">
        <x:v>UX/UI and implementation</x:v>
      </x:c>
      <x:c r="J57" s="23" t="str">
        <x:v>P1</x:v>
      </x:c>
      <x:c r="K57" s="23" t="str">
        <x:v>DOC-002</x:v>
      </x:c>
      <x:c r="L57" s="23" t="str">
        <x:v>Rejection cannot proceed without a reason; read-only users cannot mutate; verification history and scan state agree after refresh.</x:v>
      </x:c>
      <x:c r="M57" s="23" t="str">
        <x:v>Not Run: permission and API tests, concurrent verifier test, and HR/Employee browser UAT.</x:v>
      </x:c>
      <x:c r="N57" s="23" t="str">
        <x:v>Implemented / improvement needed</x:v>
      </x:c>
      <x:c r="O57" s="23" t="str">
        <x:v>Backlog</x:v>
      </x:c>
      <x:c r="P57" s="23" t="str">
        <x:v>Not Run</x:v>
      </x:c>
      <x:c r="Q57" s="23" t="str">
        <x:v>Not Run</x:v>
      </x:c>
      <x:c r="R57" s="23" t="str">
        <x:v>Not Run</x:v>
      </x:c>
      <x:c r="S57" s="23" t="str">
        <x:v>Backlog</x:v>
      </x:c>
      <x:c r="T57" s="29" t="str"/>
      <x:c r="U57" s="32" t="str"/>
      <x:c r="V57" s="23" t="str">
        <x:v>Current module source and workflow guide</x:v>
      </x:c>
      <x:c r="W57" s="23" t="str">
        <x:v>Not Run</x:v>
      </x:c>
      <x:c r="X57" s="23" t="str">
        <x:v>Not Run</x:v>
      </x:c>
      <x:c r="Y57" s="23" t="str">
        <x:v>Not Run</x:v>
      </x:c>
      <x:c r="Z57" s="23" t="str">
        <x:v>Not Run</x:v>
      </x:c>
      <x:c r="AA57" s="23" t="str">
        <x:v>Not Run</x:v>
      </x:c>
      <x:c r="AB57" s="23" t="str"/>
    </x:row>
    <x:row r="58">
      <x:c r="A58" s="23" t="str">
        <x:v>EMP-001</x:v>
      </x:c>
      <x:c r="B58" s="23" t="str">
        <x:v>W6 Employees and documents</x:v>
      </x:c>
      <x:c r="C58" s="26" t="n">
        <x:v>53</x:v>
      </x:c>
      <x:c r="D58" s="23" t="str">
        <x:v>Employees</x:v>
      </x:c>
      <x:c r="E58" s="23" t="str">
        <x:v>Employees /hr/employees</x:v>
      </x:c>
      <x:c r="F58" s="23" t="str">
        <x:v>HR Admin, HR Viewer, Manager</x:v>
      </x:c>
      <x:c r="G58" s="23" t="str">
        <x:v>[Partial] The directory uses a client DataTable and does not prove production-scale server paging, stable sorting, filter persistence, or clear Company/Branch context.</x:v>
      </x:c>
      <x:c r="H58" s="23" t="str">
        <x:v>Implement server-backed search, allow-listed sorting, paging, Company/Branch/Department/status filters, URL-persisted filters, and result totals.</x:v>
      </x:c>
      <x:c r="I58" s="23" t="str">
        <x:v>UX/UI and workflow</x:v>
      </x:c>
      <x:c r="J58" s="23" t="str">
        <x:v>P1</x:v>
      </x:c>
      <x:c r="K58" s="23" t="str">
        <x:v>UX-01–UX-06; REL-001, ENV-001; ADM-01–ADM-04</x:v>
      </x:c>
      <x:c r="L58" s="23" t="str">
        <x:v>More than one page of Employees is navigable without missing or duplicated rows; refresh and Back preserve filters; totals represent the server result.</x:v>
      </x:c>
      <x:c r="M58" s="23" t="str">
        <x:v>Not Run: API contract tests, query-cache isolation tests, two-Company browser UAT, responsive checks, and keyboard checks.</x:v>
      </x:c>
      <x:c r="N58" s="23" t="str">
        <x:v>Partial</x:v>
      </x:c>
      <x:c r="O58" s="23" t="str">
        <x:v>Backlog</x:v>
      </x:c>
      <x:c r="P58" s="23" t="str">
        <x:v>Not Run</x:v>
      </x:c>
      <x:c r="Q58" s="23" t="str">
        <x:v>Not Run</x:v>
      </x:c>
      <x:c r="R58" s="23" t="str">
        <x:v>Not Run</x:v>
      </x:c>
      <x:c r="S58" s="23" t="str">
        <x:v>Backlog</x:v>
      </x:c>
      <x:c r="T58" s="29" t="str"/>
      <x:c r="U58" s="32" t="str"/>
      <x:c r="V58" s="23" t="str">
        <x:v>Current module source and workflow guide</x:v>
      </x:c>
      <x:c r="W58" s="23" t="str">
        <x:v>Not Run</x:v>
      </x:c>
      <x:c r="X58" s="23" t="str">
        <x:v>Not Run</x:v>
      </x:c>
      <x:c r="Y58" s="23" t="str">
        <x:v>Not Run</x:v>
      </x:c>
      <x:c r="Z58" s="23" t="str">
        <x:v>Not Run</x:v>
      </x:c>
      <x:c r="AA58" s="23" t="str">
        <x:v>Not Run</x:v>
      </x:c>
      <x:c r="AB58" s="23" t="str"/>
    </x:row>
    <x:row r="59">
      <x:c r="A59" s="23" t="str">
        <x:v>EMP-002</x:v>
      </x:c>
      <x:c r="B59" s="23" t="str">
        <x:v>W6 Employees and documents</x:v>
      </x:c>
      <x:c r="C59" s="26" t="n">
        <x:v>54</x:v>
      </x:c>
      <x:c r="D59" s="23" t="str">
        <x:v>Employees</x:v>
      </x:c>
      <x:c r="E59" s="23" t="str">
        <x:v>Employee row and /hr/employees/[id]</x:v>
      </x:c>
      <x:c r="F59" s="23" t="str">
        <x:v>HR, Manager, authorized Viewer</x:v>
      </x:c>
      <x:c r="G59" s="23" t="str">
        <x:v>Rows currently open EmployeePreviewSheet, while the approved direction is dedicated pages; alternate profile code also contains an Edit path returning to the same detail URL.</x:v>
      </x:c>
      <x:c r="H59" s="23" t="str">
        <x:v>Remove the preview drawer; make row and View open the full detail page and every Edit action open /hr/employees/[id]/edit; preserve list filters on return.</x:v>
      </x:c>
      <x:c r="I59" s="23" t="str">
        <x:v>UX/UI and implementation</x:v>
      </x:c>
      <x:c r="J59" s="23" t="str">
        <x:v>P1</x:v>
      </x:c>
      <x:c r="K59" s="23" t="str">
        <x:v>EMP-001; UX-01–UX-06</x:v>
      </x:c>
      <x:c r="L59" s="23" t="str">
        <x:v>No Employee row opens a drawer; View and Edit routes are unambiguous; Back returns to the filtered directory.</x:v>
      </x:c>
      <x:c r="M59" s="23" t="str">
        <x:v>Not Run: component routing tests and HR/read-only persona browser UAT.</x:v>
      </x:c>
      <x:c r="N59" s="23" t="str">
        <x:v>Implemented / improvement needed</x:v>
      </x:c>
      <x:c r="O59" s="23" t="str">
        <x:v>Backlog</x:v>
      </x:c>
      <x:c r="P59" s="23" t="str">
        <x:v>Not Run</x:v>
      </x:c>
      <x:c r="Q59" s="23" t="str">
        <x:v>Not Run</x:v>
      </x:c>
      <x:c r="R59" s="23" t="str">
        <x:v>Not Run</x:v>
      </x:c>
      <x:c r="S59" s="23" t="str">
        <x:v>Backlog</x:v>
      </x:c>
      <x:c r="T59" s="29" t="str"/>
      <x:c r="U59" s="32" t="str"/>
      <x:c r="V59" s="23" t="str">
        <x:v>Current module source and workflow guide</x:v>
      </x:c>
      <x:c r="W59" s="23" t="str">
        <x:v>Not Run</x:v>
      </x:c>
      <x:c r="X59" s="23" t="str">
        <x:v>Not Run</x:v>
      </x:c>
      <x:c r="Y59" s="23" t="str">
        <x:v>Not Run</x:v>
      </x:c>
      <x:c r="Z59" s="23" t="str">
        <x:v>Not Run</x:v>
      </x:c>
      <x:c r="AA59" s="23" t="str">
        <x:v>Not Run</x:v>
      </x:c>
      <x:c r="AB59" s="23" t="str"/>
    </x:row>
    <x:row r="60">
      <x:c r="A60" s="23" t="str">
        <x:v>EMP-003</x:v>
      </x:c>
      <x:c r="B60" s="23" t="str">
        <x:v>W6 Employees and documents</x:v>
      </x:c>
      <x:c r="C60" s="26" t="n">
        <x:v>55</x:v>
      </x:c>
      <x:c r="D60" s="23" t="str">
        <x:v>Employees</x:v>
      </x:c>
      <x:c r="E60" s="23" t="str">
        <x:v>/hr/employees/new and /hr/employees/[id]/edit</x:v>
      </x:c>
      <x:c r="F60" s="23" t="str">
        <x:v>HR Admin</x:v>
      </x:c>
      <x:c r="G60" s="23" t="str">
        <x:v>Create/edit are pages, but production UX still needs prerequisite guidance, cascading lookup validation, permission-denied handling, and unsaved-change protection.</x:v>
      </x:c>
      <x:c r="H60" s="23" t="str">
        <x:v>Standardize full-page Employee form sections; validate Company to Branch to Department and Company to Designation/Manager; add a save summary, unsaved-change warning, and conflict recovery.</x:v>
      </x:c>
      <x:c r="I60" s="23" t="str">
        <x:v>UX/UI and workflow</x:v>
      </x:c>
      <x:c r="J60" s="23" t="str">
        <x:v>P1</x:v>
      </x:c>
      <x:c r="K60" s="23" t="str">
        <x:v>EMP-001; ADM-01–ADM-04</x:v>
      </x:c>
      <x:c r="L60" s="23" t="str">
        <x:v>Invalid cross-scope combinations cannot be submitted; unauthorized users see no mutation actions; failed or stale saves retain entered data.</x:v>
      </x:c>
      <x:c r="M60" s="23" t="str">
        <x:v>Not Run: schema and unit tests, API scope tests, create/edit browser UAT across two Branches, and read-only persona UAT.</x:v>
      </x:c>
      <x:c r="N60" s="23" t="str">
        <x:v>Implemented / improvement needed</x:v>
      </x:c>
      <x:c r="O60" s="23" t="str">
        <x:v>Backlog</x:v>
      </x:c>
      <x:c r="P60" s="23" t="str">
        <x:v>Not Run</x:v>
      </x:c>
      <x:c r="Q60" s="23" t="str">
        <x:v>Not Run</x:v>
      </x:c>
      <x:c r="R60" s="23" t="str">
        <x:v>Not Run</x:v>
      </x:c>
      <x:c r="S60" s="23" t="str">
        <x:v>Backlog</x:v>
      </x:c>
      <x:c r="T60" s="29" t="str"/>
      <x:c r="U60" s="32" t="str"/>
      <x:c r="V60" s="23" t="str">
        <x:v>Current module source and workflow guide</x:v>
      </x:c>
      <x:c r="W60" s="23" t="str">
        <x:v>Not Run</x:v>
      </x:c>
      <x:c r="X60" s="23" t="str">
        <x:v>Not Run</x:v>
      </x:c>
      <x:c r="Y60" s="23" t="str">
        <x:v>Not Run</x:v>
      </x:c>
      <x:c r="Z60" s="23" t="str">
        <x:v>Not Run</x:v>
      </x:c>
      <x:c r="AA60" s="23" t="str">
        <x:v>Not Run</x:v>
      </x:c>
      <x:c r="AB60" s="23" t="str"/>
    </x:row>
    <x:row r="61">
      <x:c r="A61" s="23" t="str">
        <x:v>REC-001</x:v>
      </x:c>
      <x:c r="B61" s="23" t="str">
        <x:v>W7 Recruitment</x:v>
      </x:c>
      <x:c r="C61" s="26" t="n">
        <x:v>56</x:v>
      </x:c>
      <x:c r="D61" s="23" t="str">
        <x:v>Recruitment</x:v>
      </x:c>
      <x:c r="E61" s="23" t="str">
        <x:v>/hr/recruitment and /careers/[companyCode]</x:v>
      </x:c>
      <x:c r="F61" s="23" t="str">
        <x:v>Platform Admin, Recruitment Owner</x:v>
      </x:c>
      <x:c r="G61" s="23" t="str">
        <x:v>[Release-gated] Recruitment defaults disabled and has development mock paths; visible pages or mock data are not production proof.</x:v>
      </x:c>
      <x:c r="H61" s="23" t="str">
        <x:v>Define the exact production flag matrix, force live API with mock=false, validate Company/Branch scope, and keep Public Careers, shortlisting, and delivery disabled until their individual gates pass.</x:v>
      </x:c>
      <x:c r="I61" s="23" t="str">
        <x:v>UX/UI and workflow</x:v>
      </x:c>
      <x:c r="J61" s="23" t="str">
        <x:v>P0</x:v>
      </x:c>
      <x:c r="K61" s="23" t="str">
        <x:v>REL-001, ENV-001</x:v>
      </x:c>
      <x:c r="L61" s="23" t="str">
        <x:v>Production startup rejects unsafe or missing settings; mock banner and mock data cannot appear; enabled and disabled scopes return consistent menu and API behavior.</x:v>
      </x:c>
      <x:c r="M61" s="23" t="str">
        <x:v>Not Run: environment-validation tests, capability tests, and two-tenant browser/API UAT.</x:v>
      </x:c>
      <x:c r="N61" s="23" t="str">
        <x:v>Implemented / gated</x:v>
      </x:c>
      <x:c r="O61" s="23" t="str">
        <x:v>Backlog</x:v>
      </x:c>
      <x:c r="P61" s="23" t="str">
        <x:v>Not Run</x:v>
      </x:c>
      <x:c r="Q61" s="23" t="str">
        <x:v>Not Run</x:v>
      </x:c>
      <x:c r="R61" s="23" t="str">
        <x:v>Not Run</x:v>
      </x:c>
      <x:c r="S61" s="23" t="str">
        <x:v>Backlog</x:v>
      </x:c>
      <x:c r="T61" s="29" t="str"/>
      <x:c r="U61" s="32" t="str"/>
      <x:c r="V61" s="23" t="str">
        <x:v>Current module source and workflow guide</x:v>
      </x:c>
      <x:c r="W61" s="23" t="str">
        <x:v>Not Run</x:v>
      </x:c>
      <x:c r="X61" s="23" t="str">
        <x:v>Not Run</x:v>
      </x:c>
      <x:c r="Y61" s="23" t="str">
        <x:v>Not Run</x:v>
      </x:c>
      <x:c r="Z61" s="23" t="str">
        <x:v>Not Run</x:v>
      </x:c>
      <x:c r="AA61" s="23" t="str">
        <x:v>Not Run</x:v>
      </x:c>
      <x:c r="AB61" s="23" t="str"/>
    </x:row>
    <x:row r="62">
      <x:c r="A62" s="23" t="str">
        <x:v>REC-002</x:v>
      </x:c>
      <x:c r="B62" s="23" t="str">
        <x:v>W7 Recruitment</x:v>
      </x:c>
      <x:c r="C62" s="26" t="n">
        <x:v>57</x:v>
      </x:c>
      <x:c r="D62" s="23" t="str">
        <x:v>Recruitment Openings</x:v>
      </x:c>
      <x:c r="E62" s="23" t="str">
        <x:v>/hr/recruitment/openings/new and /hr/recruitment/openings/[id]</x:v>
      </x:c>
      <x:c r="F62" s="23" t="str">
        <x:v>Recruiter, Recruitment Manager</x:v>
      </x:c>
      <x:c r="G62" s="23" t="str">
        <x:v>The page flow exists, but the long form and publication checklist do not yet provide a clear staged completion path or field-level recovery for every server blocker.</x:v>
      </x:c>
      <x:c r="H62" s="23" t="str">
        <x:v>Organize the full-page form into role, organization, hiring, dates, and criteria sections; add sticky Save/Cancel, unsaved warning, and checklist items linked to invalid fields.</x:v>
      </x:c>
      <x:c r="I62" s="23" t="str">
        <x:v>UX/UI and workflow</x:v>
      </x:c>
      <x:c r="J62" s="23" t="str">
        <x:v>P1</x:v>
      </x:c>
      <x:c r="K62" s="23" t="str">
        <x:v>REC-001; ADM-01–ADM-04</x:v>
      </x:c>
      <x:c r="L62" s="23" t="str">
        <x:v>A Draft can be resumed; criteria total and prerequisites are explained; Publish is impossible until the server checklist passes; failures retain form data.</x:v>
      </x:c>
      <x:c r="M62" s="23" t="str">
        <x:v>Not Run: form and component tests, transition API tests, and Recruiter browser UAT.</x:v>
      </x:c>
      <x:c r="N62" s="23" t="str">
        <x:v>Implemented / improvement needed</x:v>
      </x:c>
      <x:c r="O62" s="23" t="str">
        <x:v>Backlog</x:v>
      </x:c>
      <x:c r="P62" s="23" t="str">
        <x:v>Not Run</x:v>
      </x:c>
      <x:c r="Q62" s="23" t="str">
        <x:v>Not Run</x:v>
      </x:c>
      <x:c r="R62" s="23" t="str">
        <x:v>Not Run</x:v>
      </x:c>
      <x:c r="S62" s="23" t="str">
        <x:v>Backlog</x:v>
      </x:c>
      <x:c r="T62" s="29" t="str"/>
      <x:c r="U62" s="32" t="str"/>
      <x:c r="V62" s="23" t="str">
        <x:v>Current module source and workflow guide</x:v>
      </x:c>
      <x:c r="W62" s="23" t="str">
        <x:v>Not Run</x:v>
      </x:c>
      <x:c r="X62" s="23" t="str">
        <x:v>Not Run</x:v>
      </x:c>
      <x:c r="Y62" s="23" t="str">
        <x:v>Not Run</x:v>
      </x:c>
      <x:c r="Z62" s="23" t="str">
        <x:v>Not Run</x:v>
      </x:c>
      <x:c r="AA62" s="23" t="str">
        <x:v>Not Run</x:v>
      </x:c>
      <x:c r="AB62" s="23" t="str"/>
    </x:row>
    <x:row r="63">
      <x:c r="A63" s="23" t="str">
        <x:v>REC-003</x:v>
      </x:c>
      <x:c r="B63" s="23" t="str">
        <x:v>W7 Recruitment</x:v>
      </x:c>
      <x:c r="C63" s="26" t="n">
        <x:v>58</x:v>
      </x:c>
      <x:c r="D63" s="23" t="str">
        <x:v>Public Careers and Application</x:v>
      </x:c>
      <x:c r="E63" s="23" t="str">
        <x:v>/careers/[companyCode]/jobs/[openingCode]</x:v>
      </x:c>
      <x:c r="F63" s="23" t="str">
        <x:v>Candidate, Recruiter</x:v>
      </x:c>
      <x:c r="G63" s="23" t="str">
        <x:v>[Provider-dependent] Public application depends on anti-abuse controls, resume storage/scanning, and publication state; local success is not provider proof.</x:v>
      </x:c>
      <x:c r="H63" s="23" t="str">
        <x:v>Polish accessible application steps, required-file guidance, consent and privacy copy, upload and scan recovery, and an immutable success receipt without exposing internal IDs.</x:v>
      </x:c>
      <x:c r="I63" s="23" t="str">
        <x:v>UX/UI and workflow</x:v>
      </x:c>
      <x:c r="J63" s="23" t="str">
        <x:v>P0</x:v>
      </x:c>
      <x:c r="K63" s="23" t="str">
        <x:v>REC-002; ENV-002</x:v>
      </x:c>
      <x:c r="L63" s="23" t="str">
        <x:v>Only open and in-date jobs accept applications; duplicate, rate-limit, and file failures are recoverable; the receipt identifies the application without sensitive leakage.</x:v>
      </x:c>
      <x:c r="M63" s="23" t="str">
        <x:v>Not Run: anonymous browser UAT, Turnstile and rate-limit tests, real S3/ClamAV evidence, and accessibility scan.</x:v>
      </x:c>
      <x:c r="N63" s="23" t="str">
        <x:v>Partial / provider-dependent</x:v>
      </x:c>
      <x:c r="O63" s="23" t="str">
        <x:v>Backlog</x:v>
      </x:c>
      <x:c r="P63" s="23" t="str">
        <x:v>Not Run</x:v>
      </x:c>
      <x:c r="Q63" s="23" t="str">
        <x:v>Not Run</x:v>
      </x:c>
      <x:c r="R63" s="23" t="str">
        <x:v>Not Run</x:v>
      </x:c>
      <x:c r="S63" s="23" t="str">
        <x:v>Backlog</x:v>
      </x:c>
      <x:c r="T63" s="29" t="str"/>
      <x:c r="U63" s="32" t="str"/>
      <x:c r="V63" s="23" t="str">
        <x:v>Current module source and workflow guide</x:v>
      </x:c>
      <x:c r="W63" s="23" t="str">
        <x:v>Not Run</x:v>
      </x:c>
      <x:c r="X63" s="23" t="str">
        <x:v>Not Run</x:v>
      </x:c>
      <x:c r="Y63" s="23" t="str">
        <x:v>Not Run</x:v>
      </x:c>
      <x:c r="Z63" s="23" t="str">
        <x:v>Not Run</x:v>
      </x:c>
      <x:c r="AA63" s="23" t="str">
        <x:v>Not Run</x:v>
      </x:c>
      <x:c r="AB63" s="23" t="str"/>
    </x:row>
    <x:row r="64">
      <x:c r="A64" s="23" t="str">
        <x:v>REC-004</x:v>
      </x:c>
      <x:c r="B64" s="23" t="str">
        <x:v>W7 Recruitment</x:v>
      </x:c>
      <x:c r="C64" s="26" t="n">
        <x:v>59</x:v>
      </x:c>
      <x:c r="D64" s="23" t="str">
        <x:v>Recruitment Applications</x:v>
      </x:c>
      <x:c r="E64" s="23" t="str">
        <x:v>/hr/recruitment/applications and /hr/recruitment/applications/[id]</x:v>
      </x:c>
      <x:c r="F64" s="23" t="str">
        <x:v>Recruiter, Hiring Manager</x:v>
      </x:c>
      <x:c r="G64" s="23" t="str">
        <x:v>[Partial] Lifecycle actions exist, but users must interpret multiple tabs and statuses; list filtering, paging, and owner and next-action visibility need production validation.</x:v>
      </x:c>
      <x:c r="H64" s="23" t="str">
        <x:v>Make detail the application command center with a lifecycle stepper, current owner, next action, blockers, and linked interview and offer; use server paging and URL filters.</x:v>
      </x:c>
      <x:c r="I64" s="23" t="str">
        <x:v>UX/UI and workflow</x:v>
      </x:c>
      <x:c r="J64" s="23" t="str">
        <x:v>P1</x:v>
      </x:c>
      <x:c r="K64" s="23" t="str">
        <x:v>REC-003</x:v>
      </x:c>
      <x:c r="L64" s="23" t="str">
        <x:v>Each application exposes exactly one valid next action or terminal explanation; list totals and filters survive refresh; unauthorized transitions are hidden and rejected.</x:v>
      </x:c>
      <x:c r="M64" s="23" t="str">
        <x:v>Not Run: transition matrix tests, concurrency test, and Recruiter/Manager browser UAT.</x:v>
      </x:c>
      <x:c r="N64" s="23" t="str">
        <x:v>Partial</x:v>
      </x:c>
      <x:c r="O64" s="23" t="str">
        <x:v>Backlog</x:v>
      </x:c>
      <x:c r="P64" s="23" t="str">
        <x:v>Not Run</x:v>
      </x:c>
      <x:c r="Q64" s="23" t="str">
        <x:v>Not Run</x:v>
      </x:c>
      <x:c r="R64" s="23" t="str">
        <x:v>Not Run</x:v>
      </x:c>
      <x:c r="S64" s="23" t="str">
        <x:v>Backlog</x:v>
      </x:c>
      <x:c r="T64" s="29" t="str"/>
      <x:c r="U64" s="32" t="str"/>
      <x:c r="V64" s="23" t="str">
        <x:v>Current module source and workflow guide</x:v>
      </x:c>
      <x:c r="W64" s="23" t="str">
        <x:v>Not Run</x:v>
      </x:c>
      <x:c r="X64" s="23" t="str">
        <x:v>Not Run</x:v>
      </x:c>
      <x:c r="Y64" s="23" t="str">
        <x:v>Not Run</x:v>
      </x:c>
      <x:c r="Z64" s="23" t="str">
        <x:v>Not Run</x:v>
      </x:c>
      <x:c r="AA64" s="23" t="str">
        <x:v>Not Run</x:v>
      </x:c>
      <x:c r="AB64" s="23" t="str"/>
    </x:row>
    <x:row r="65">
      <x:c r="A65" s="23" t="str">
        <x:v>REC-005</x:v>
      </x:c>
      <x:c r="B65" s="23" t="str">
        <x:v>W7 Recruitment</x:v>
      </x:c>
      <x:c r="C65" s="26" t="n">
        <x:v>60</x:v>
      </x:c>
      <x:c r="D65" s="23" t="str">
        <x:v>Interviews</x:v>
      </x:c>
      <x:c r="E65" s="23" t="str">
        <x:v>/hr/recruitment/interviews and Application Interviews</x:v>
      </x:c>
      <x:c r="F65" s="23" t="str">
        <x:v>Recruiter, Interviewer, Hiring Manager</x:v>
      </x:c>
      <x:c r="G65" s="23" t="str">
        <x:v>Scheduling and evaluation are dialog-heavy; row selection and Reschedule actions can be confusing, and panel-specific ownership must be obvious.</x:v>
      </x:c>
      <x:c r="H65" s="23" t="str">
        <x:v>Add a dedicated interview detail and evaluation route; keep only short cancel and confirm dialogs; separate Schedule, Reschedule, Complete, and Evaluate actions and show panel and lead ownership.</x:v>
      </x:c>
      <x:c r="I65" s="23" t="str">
        <x:v>UX/UI and implementation</x:v>
      </x:c>
      <x:c r="J65" s="23" t="str">
        <x:v>P1</x:v>
      </x:c>
      <x:c r="K65" s="23" t="str">
        <x:v>REC-004</x:v>
      </x:c>
      <x:c r="L65" s="23" t="str">
        <x:v>Clicking a row never silently starts Reschedule; only assigned panel members can edit their evaluation; submitted evaluations are read-only.</x:v>
      </x:c>
      <x:c r="M65" s="23" t="str">
        <x:v>Not Run: component tests, panel-member API authorization, concurrent submission, and multi-persona browser UAT.</x:v>
      </x:c>
      <x:c r="N65" s="23" t="str">
        <x:v>Implemented / improvement needed</x:v>
      </x:c>
      <x:c r="O65" s="23" t="str">
        <x:v>Backlog</x:v>
      </x:c>
      <x:c r="P65" s="23" t="str">
        <x:v>Not Run</x:v>
      </x:c>
      <x:c r="Q65" s="23" t="str">
        <x:v>Not Run</x:v>
      </x:c>
      <x:c r="R65" s="23" t="str">
        <x:v>Not Run</x:v>
      </x:c>
      <x:c r="S65" s="23" t="str">
        <x:v>Backlog</x:v>
      </x:c>
      <x:c r="T65" s="29" t="str"/>
      <x:c r="U65" s="32" t="str"/>
      <x:c r="V65" s="23" t="str">
        <x:v>Current module source and workflow guide</x:v>
      </x:c>
      <x:c r="W65" s="23" t="str">
        <x:v>Not Run</x:v>
      </x:c>
      <x:c r="X65" s="23" t="str">
        <x:v>Not Run</x:v>
      </x:c>
      <x:c r="Y65" s="23" t="str">
        <x:v>Not Run</x:v>
      </x:c>
      <x:c r="Z65" s="23" t="str">
        <x:v>Not Run</x:v>
      </x:c>
      <x:c r="AA65" s="23" t="str">
        <x:v>Not Run</x:v>
      </x:c>
      <x:c r="AB65" s="23" t="str"/>
    </x:row>
    <x:row r="66">
      <x:c r="A66" s="23" t="str">
        <x:v>REC-006</x:v>
      </x:c>
      <x:c r="B66" s="23" t="str">
        <x:v>W7 Recruitment</x:v>
      </x:c>
      <x:c r="C66" s="26" t="n">
        <x:v>61</x:v>
      </x:c>
      <x:c r="D66" s="23" t="str">
        <x:v>Hiring Decision</x:v>
      </x:c>
      <x:c r="E66" s="23" t="str">
        <x:v>Application detail and hiring comparison</x:v>
      </x:c>
      <x:c r="F66" s="23" t="str">
        <x:v>Hiring Manager, Recruiter</x:v>
      </x:c>
      <x:c r="G66" s="23" t="str">
        <x:v>[Partial] Comparison and decisions exist, but evaluation completeness, headcount impact, and decision ownership are not presented as one approval gate.</x:v>
      </x:c>
      <x:c r="H66" s="23" t="str">
        <x:v>Add a decision-readiness summary covering required interviews, submitted evaluations, score comparison, headcount reservation, and authoritative decision owner.</x:v>
      </x:c>
      <x:c r="I66" s="23" t="str">
        <x:v>UX/UI and workflow</x:v>
      </x:c>
      <x:c r="J66" s="23" t="str">
        <x:v>P1</x:v>
      </x:c>
      <x:c r="K66" s="23" t="str">
        <x:v>REC-005</x:v>
      </x:c>
      <x:c r="L66" s="23" t="str">
        <x:v>Selection is blocked until prerequisites pass; only the assigned Manager decides; the decision is auditable and cannot create duplicate headcount reservations.</x:v>
      </x:c>
      <x:c r="M66" s="23" t="str">
        <x:v>Not Run: prerequisite and unit tests, headcount concurrency tests, and Hiring Manager browser UAT.</x:v>
      </x:c>
      <x:c r="N66" s="23" t="str">
        <x:v>Partial</x:v>
      </x:c>
      <x:c r="O66" s="23" t="str">
        <x:v>Backlog</x:v>
      </x:c>
      <x:c r="P66" s="23" t="str">
        <x:v>Not Run</x:v>
      </x:c>
      <x:c r="Q66" s="23" t="str">
        <x:v>Not Run</x:v>
      </x:c>
      <x:c r="R66" s="23" t="str">
        <x:v>Not Run</x:v>
      </x:c>
      <x:c r="S66" s="23" t="str">
        <x:v>Backlog</x:v>
      </x:c>
      <x:c r="T66" s="29" t="str"/>
      <x:c r="U66" s="32" t="str"/>
      <x:c r="V66" s="23" t="str">
        <x:v>Current module source and workflow guide</x:v>
      </x:c>
      <x:c r="W66" s="23" t="str">
        <x:v>Not Run</x:v>
      </x:c>
      <x:c r="X66" s="23" t="str">
        <x:v>Not Run</x:v>
      </x:c>
      <x:c r="Y66" s="23" t="str">
        <x:v>Not Run</x:v>
      </x:c>
      <x:c r="Z66" s="23" t="str">
        <x:v>Not Run</x:v>
      </x:c>
      <x:c r="AA66" s="23" t="str">
        <x:v>Not Run</x:v>
      </x:c>
      <x:c r="AB66" s="23" t="str"/>
    </x:row>
    <x:row r="67">
      <x:c r="A67" s="23" t="str">
        <x:v>REC-007</x:v>
      </x:c>
      <x:c r="B67" s="23" t="str">
        <x:v>W7 Recruitment</x:v>
      </x:c>
      <x:c r="C67" s="26" t="n">
        <x:v>62</x:v>
      </x:c>
      <x:c r="D67" s="23" t="str">
        <x:v>Offers and Delivery</x:v>
      </x:c>
      <x:c r="E67" s="23" t="str">
        <x:v>/hr/recruitment/offers, /hr/recruitment/delivery, and public offer response</x:v>
      </x:c>
      <x:c r="F67" s="23" t="str">
        <x:v>Recruiter, Offer Approver, Candidate, Operations</x:v>
      </x:c>
      <x:c r="G67" s="23" t="str">
        <x:v>[Provider-dependent] Offer lifecycle spans compose, send, response, signature, and delivery; retry still uses a browser prompt in Delivery, and live email and storage proof is absent.</x:v>
      </x:c>
      <x:c r="H67" s="23" t="str">
        <x:v>Use a full-page offer detail and composer; show approval, delivery, candidate-response, and signature states separately; replace prompts with reason dialogs and link failed delivery to attempt history.</x:v>
      </x:c>
      <x:c r="I67" s="23" t="str">
        <x:v>UX/UI and implementation</x:v>
      </x:c>
      <x:c r="J67" s="23" t="str">
        <x:v>P0</x:v>
      </x:c>
      <x:c r="K67" s="23" t="str">
        <x:v>REC-006; ENV-002</x:v>
      </x:c>
      <x:c r="L67" s="23" t="str">
        <x:v>The Candidate receives one valid link; expired or replayed links fail safely; signature can be reviewed; retry records a reason and does not duplicate accepted responses.</x:v>
      </x:c>
      <x:c r="M67" s="23" t="str">
        <x:v>Not Run: real inbox test, signature storage and scan evidence, webhook and retry tests, and Candidate/Operations browser UAT.</x:v>
      </x:c>
      <x:c r="N67" s="23" t="str">
        <x:v>Partial / provider-dependent</x:v>
      </x:c>
      <x:c r="O67" s="23" t="str">
        <x:v>Backlog</x:v>
      </x:c>
      <x:c r="P67" s="23" t="str">
        <x:v>Not Run</x:v>
      </x:c>
      <x:c r="Q67" s="23" t="str">
        <x:v>Not Run</x:v>
      </x:c>
      <x:c r="R67" s="23" t="str">
        <x:v>Not Run</x:v>
      </x:c>
      <x:c r="S67" s="23" t="str">
        <x:v>Backlog</x:v>
      </x:c>
      <x:c r="T67" s="29" t="str"/>
      <x:c r="U67" s="32" t="str"/>
      <x:c r="V67" s="23" t="str">
        <x:v>Current module source and workflow guide</x:v>
      </x:c>
      <x:c r="W67" s="23" t="str">
        <x:v>Not Run</x:v>
      </x:c>
      <x:c r="X67" s="23" t="str">
        <x:v>Not Run</x:v>
      </x:c>
      <x:c r="Y67" s="23" t="str">
        <x:v>Not Run</x:v>
      </x:c>
      <x:c r="Z67" s="23" t="str">
        <x:v>Not Run</x:v>
      </x:c>
      <x:c r="AA67" s="23" t="str">
        <x:v>Not Run</x:v>
      </x:c>
      <x:c r="AB67" s="23" t="str"/>
    </x:row>
    <x:row r="68">
      <x:c r="A68" s="23" t="str">
        <x:v>REC-008</x:v>
      </x:c>
      <x:c r="B68" s="23" t="str">
        <x:v>W7 Recruitment</x:v>
      </x:c>
      <x:c r="C68" s="26" t="n">
        <x:v>63</x:v>
      </x:c>
      <x:c r="D68" s="23" t="str">
        <x:v>Recruitment Conversion</x:v>
      </x:c>
      <x:c r="E68" s="23" t="str">
        <x:v>Application Ready to Hire and Employee invitation</x:v>
      </x:c>
      <x:c r="F68" s="23" t="str">
        <x:v>Recruiter, HR Admin, Candidate/New Employee</x:v>
      </x:c>
      <x:c r="G68" s="23" t="str">
        <x:v>[Cross-module] Conversion creates Employee, invitation, career, and Onboarding effects; partial failure or repeated commands must not duplicate identities or records.</x:v>
      </x:c>
      <x:c r="H68" s="23" t="str">
        <x:v>Add conversion preflight, idempotent command receipt, explicit Employee/User outcome, invitation state, and Onboarding handoff with remediation links.</x:v>
      </x:c>
      <x:c r="I68" s="23" t="str">
        <x:v>UX/UI and workflow</x:v>
      </x:c>
      <x:c r="J68" s="23" t="str">
        <x:v>P0</x:v>
      </x:c>
      <x:c r="K68" s="23" t="str">
        <x:v>REC-007; EMP-003; ONB-006</x:v>
      </x:c>
      <x:c r="L68" s="23" t="str">
        <x:v>Repeated submission produces one Employee and one career event; failed invitation is retryable; Designation and template blockers appear before conversion.</x:v>
      </x:c>
      <x:c r="M68" s="23" t="str">
        <x:v>Not Run: transaction and idempotency tests, database reconciliation, real invitation flow, and Recruiter/New Employee browser UAT.</x:v>
      </x:c>
      <x:c r="N68" s="23" t="str">
        <x:v>Partial</x:v>
      </x:c>
      <x:c r="O68" s="23" t="str">
        <x:v>Backlog</x:v>
      </x:c>
      <x:c r="P68" s="23" t="str">
        <x:v>Not Run</x:v>
      </x:c>
      <x:c r="Q68" s="23" t="str">
        <x:v>Not Run</x:v>
      </x:c>
      <x:c r="R68" s="23" t="str">
        <x:v>Not Run</x:v>
      </x:c>
      <x:c r="S68" s="23" t="str">
        <x:v>Backlog</x:v>
      </x:c>
      <x:c r="T68" s="29" t="str"/>
      <x:c r="U68" s="32" t="str"/>
      <x:c r="V68" s="23" t="str">
        <x:v>Current module source and workflow guide</x:v>
      </x:c>
      <x:c r="W68" s="23" t="str">
        <x:v>Not Run</x:v>
      </x:c>
      <x:c r="X68" s="23" t="str">
        <x:v>Not Run</x:v>
      </x:c>
      <x:c r="Y68" s="23" t="str">
        <x:v>Not Run</x:v>
      </x:c>
      <x:c r="Z68" s="23" t="str">
        <x:v>Not Run</x:v>
      </x:c>
      <x:c r="AA68" s="23" t="str">
        <x:v>Not Run</x:v>
      </x:c>
      <x:c r="AB68" s="23" t="str"/>
    </x:row>
    <x:row r="69">
      <x:c r="A69" s="23" t="str">
        <x:v>ONB-001</x:v>
      </x:c>
      <x:c r="B69" s="23" t="str">
        <x:v>W8 Onboarding</x:v>
      </x:c>
      <x:c r="C69" s="26" t="n">
        <x:v>64</x:v>
      </x:c>
      <x:c r="D69" s="23" t="str">
        <x:v>Designation Entry</x:v>
      </x:c>
      <x:c r="E69" s="23" t="str">
        <x:v>Onboarding Templates and Designations create</x:v>
      </x:c>
      <x:c r="F69" s="23" t="str">
        <x:v>HR Onboarding Admin, Organization Structure Admin</x:v>
      </x:c>
      <x:c r="G69" s="23" t="str">
        <x:v>The recent Create Designation action opens a drawer from Templates and requires permissions from two domains without explaining that requirement.</x:v>
      </x:c>
      <x:c r="H69" s="23" t="str">
        <x:v>Create a dedicated full-page Designation route usable from both menus; show optional Onboarding Involvement Department only when the capability and both permissions are present.</x:v>
      </x:c>
      <x:c r="I69" s="23" t="str">
        <x:v>UX/UI and workflow</x:v>
      </x:c>
      <x:c r="J69" s="23" t="str">
        <x:v>P1</x:v>
      </x:c>
      <x:c r="K69" s="23" t="str">
        <x:v>UX-01–UX-06; ADM-01–ADM-04</x:v>
      </x:c>
      <x:c r="L69" s="23" t="str">
        <x:v>No Designation create drawer remains; unauthorized HR users never receive a misleading action; Cancel and Back return to the originating list.</x:v>
      </x:c>
      <x:c r="M69" s="23" t="str">
        <x:v>Not Run: route and component permission matrix plus browser UAT for structure-only, onboarding-only, combined, and read-only personas.</x:v>
      </x:c>
      <x:c r="N69" s="23" t="str">
        <x:v>Implemented / improvement needed</x:v>
      </x:c>
      <x:c r="O69" s="23" t="str">
        <x:v>Backlog</x:v>
      </x:c>
      <x:c r="P69" s="23" t="str">
        <x:v>Not Run</x:v>
      </x:c>
      <x:c r="Q69" s="23" t="str">
        <x:v>Not Run</x:v>
      </x:c>
      <x:c r="R69" s="23" t="str">
        <x:v>Not Run</x:v>
      </x:c>
      <x:c r="S69" s="23" t="str">
        <x:v>Backlog</x:v>
      </x:c>
      <x:c r="T69" s="29" t="str"/>
      <x:c r="U69" s="32" t="str"/>
      <x:c r="V69" s="23" t="str">
        <x:v>Current module source and workflow guide</x:v>
      </x:c>
      <x:c r="W69" s="23" t="str">
        <x:v>Not Run</x:v>
      </x:c>
      <x:c r="X69" s="23" t="str">
        <x:v>Not Run</x:v>
      </x:c>
      <x:c r="Y69" s="23" t="str">
        <x:v>Not Run</x:v>
      </x:c>
      <x:c r="Z69" s="23" t="str">
        <x:v>Not Run</x:v>
      </x:c>
      <x:c r="AA69" s="23" t="str">
        <x:v>Not Run</x:v>
      </x:c>
      <x:c r="AB69" s="23" t="str"/>
    </x:row>
    <x:row r="70">
      <x:c r="A70" s="23" t="str">
        <x:v>ONB-002</x:v>
      </x:c>
      <x:c r="B70" s="23" t="str">
        <x:v>W8 Onboarding</x:v>
      </x:c>
      <x:c r="C70" s="26" t="n">
        <x:v>65</x:v>
      </x:c>
      <x:c r="D70" s="23" t="str">
        <x:v>Designation-Onboarding Link</x:v>
      </x:c>
      <x:c r="E70" s="23" t="str">
        <x:v>Full-page Designation create</x:v>
      </x:c>
      <x:c r="F70" s="23" t="str">
        <x:v>Combined Structure and Onboarding Admin</x:v>
      </x:c>
      <x:c r="G70" s="23" t="str">
        <x:v>The recent implementation performs Designation creation and Department linking as two frontend calls, allowing a partially created record.</x:v>
      </x:c>
      <x:c r="H70" s="23" t="str">
        <x:v>Provide one transactional backend command, or a durable resumable command with an explicit partial-state record and in-page Retry; never close as complete after link failure.</x:v>
      </x:c>
      <x:c r="I70" s="23" t="str">
        <x:v>Backend hardening</x:v>
      </x:c>
      <x:c r="J70" s="23" t="str">
        <x:v>P0</x:v>
      </x:c>
      <x:c r="K70" s="23" t="str">
        <x:v>ONB-001</x:v>
      </x:c>
      <x:c r="L70" s="23" t="str">
        <x:v>Success creates one Designation, linked template, version, scope, and first Department; a forced second-step failure rolls back or remains visibly recoverable; retry is idempotent.</x:v>
      </x:c>
      <x:c r="M70" s="23" t="str">
        <x:v>Not Run: transaction rollback, idempotency, concurrency, and browser failure-injection tests.</x:v>
      </x:c>
      <x:c r="N70" s="23" t="str">
        <x:v>Partial</x:v>
      </x:c>
      <x:c r="O70" s="23" t="str">
        <x:v>Backlog</x:v>
      </x:c>
      <x:c r="P70" s="23" t="str">
        <x:v>Not Run</x:v>
      </x:c>
      <x:c r="Q70" s="23" t="str">
        <x:v>Not Run</x:v>
      </x:c>
      <x:c r="R70" s="23" t="str">
        <x:v>Not Run</x:v>
      </x:c>
      <x:c r="S70" s="23" t="str">
        <x:v>Backlog</x:v>
      </x:c>
      <x:c r="T70" s="29" t="str"/>
      <x:c r="U70" s="32" t="str"/>
      <x:c r="V70" s="23" t="str">
        <x:v>Current module source and workflow guide</x:v>
      </x:c>
      <x:c r="W70" s="23" t="str">
        <x:v>Not Run</x:v>
      </x:c>
      <x:c r="X70" s="23" t="str">
        <x:v>Not Run</x:v>
      </x:c>
      <x:c r="Y70" s="23" t="str">
        <x:v>Not Run</x:v>
      </x:c>
      <x:c r="Z70" s="23" t="str">
        <x:v>Not Run</x:v>
      </x:c>
      <x:c r="AA70" s="23" t="str">
        <x:v>Not Run</x:v>
      </x:c>
      <x:c r="AB70" s="23" t="str"/>
    </x:row>
    <x:row r="71">
      <x:c r="A71" s="23" t="str">
        <x:v>ONB-003</x:v>
      </x:c>
      <x:c r="B71" s="23" t="str">
        <x:v>W8 Onboarding</x:v>
      </x:c>
      <x:c r="C71" s="26" t="n">
        <x:v>66</x:v>
      </x:c>
      <x:c r="D71" s="23" t="str">
        <x:v>Onboarding Feature Gate and RBAC</x:v>
      </x:c>
      <x:c r="E71" s="23" t="str">
        <x:v>Designation create and /hr/onboarding-templates</x:v>
      </x:c>
      <x:c r="F71" s="23" t="str">
        <x:v>Platform Admin, HR Onboarding Admin</x:v>
      </x:c>
      <x:c r="G71" s="23" t="str">
        <x:v>The new Department option can appear when Onboarding is disabled or out of scope; the backend link command must independently enforce feature scope, permissions, and tenant and Branch ownership.</x:v>
      </x:c>
      <x:c r="H71" s="23" t="str">
        <x:v>Enforce the Onboarding feature gate and combined RBAC in UI and backend; support empty allowlists as all Companies only when enabled; validate the Department belongs to the Designation Company and selected Branch context.</x:v>
      </x:c>
      <x:c r="I71" s="23" t="str">
        <x:v>Backend hardening</x:v>
      </x:c>
      <x:c r="J71" s="23" t="str">
        <x:v>P0</x:v>
      </x:c>
      <x:c r="K71" s="23" t="str">
        <x:v>REL-001, ENV-001; ONB-001</x:v>
      </x:c>
      <x:c r="L71" s="23" t="str">
        <x:v>Disabled or out-of-scope calls fail closed; all-Company and explicit allowlist modes behave consistently; no cross-Company or cross-Branch link is possible.</x:v>
      </x:c>
      <x:c r="M71" s="23" t="str">
        <x:v>Not Run: environment and gate unit tests, direct-ID negative API tests, and two-tenant browser UAT.</x:v>
      </x:c>
      <x:c r="N71" s="23" t="str">
        <x:v>Implemented / gated</x:v>
      </x:c>
      <x:c r="O71" s="23" t="str">
        <x:v>Backlog</x:v>
      </x:c>
      <x:c r="P71" s="23" t="str">
        <x:v>Not Run</x:v>
      </x:c>
      <x:c r="Q71" s="23" t="str">
        <x:v>Not Run</x:v>
      </x:c>
      <x:c r="R71" s="23" t="str">
        <x:v>Not Run</x:v>
      </x:c>
      <x:c r="S71" s="23" t="str">
        <x:v>Backlog</x:v>
      </x:c>
      <x:c r="T71" s="29" t="str"/>
      <x:c r="U71" s="32" t="str"/>
      <x:c r="V71" s="23" t="str">
        <x:v>Current module source and workflow guide</x:v>
      </x:c>
      <x:c r="W71" s="23" t="str">
        <x:v>Not Run</x:v>
      </x:c>
      <x:c r="X71" s="23" t="str">
        <x:v>Not Run</x:v>
      </x:c>
      <x:c r="Y71" s="23" t="str">
        <x:v>Not Run</x:v>
      </x:c>
      <x:c r="Z71" s="23" t="str">
        <x:v>Not Run</x:v>
      </x:c>
      <x:c r="AA71" s="23" t="str">
        <x:v>Not Run</x:v>
      </x:c>
      <x:c r="AB71" s="23" t="str"/>
    </x:row>
    <x:row r="72">
      <x:c r="A72" s="23" t="str">
        <x:v>ONB-004</x:v>
      </x:c>
      <x:c r="B72" s="23" t="str">
        <x:v>W8 Onboarding</x:v>
      </x:c>
      <x:c r="C72" s="26" t="n">
        <x:v>67</x:v>
      </x:c>
      <x:c r="D72" s="23" t="str">
        <x:v>Template Discovery</x:v>
      </x:c>
      <x:c r="E72" s="23" t="str">
        <x:v>/hr/onboarding-templates and /hr/onboarding-templates/new</x:v>
      </x:c>
      <x:c r="F72" s="23" t="str">
        <x:v>HR Onboarding Admin</x:v>
      </x:c>
      <x:c r="G72" s="23" t="str">
        <x:v>[Partial] The UI is Designation-driven while a generic /new template route remains; inactive Designations may be linked yet omitted, creating an invisible configuration state.</x:v>
      </x:c>
      <x:c r="H72" s="23" t="str">
        <x:v>Make the Designation workspace authoritative; redirect or clearly label generic /new; define active and inactive recovery and enforce one primary published template per Designation.</x:v>
      </x:c>
      <x:c r="I72" s="23" t="str">
        <x:v>UX/UI and workflow</x:v>
      </x:c>
      <x:c r="J72" s="23" t="str">
        <x:v>P1</x:v>
      </x:c>
      <x:c r="K72" s="23" t="str">
        <x:v>ONB-002; ONB-003</x:v>
      </x:c>
      <x:c r="L72" s="23" t="str">
        <x:v>Users cannot create an orphan or ambiguous template; inactive linked Designations remain discoverable with a recovery action; one primary template resolves deterministically.</x:v>
      </x:c>
      <x:c r="M72" s="23" t="str">
        <x:v>Not Run: route tests, resolution tests, and active and inactive browser scenarios.</x:v>
      </x:c>
      <x:c r="N72" s="23" t="str">
        <x:v>Partial</x:v>
      </x:c>
      <x:c r="O72" s="23" t="str">
        <x:v>Backlog</x:v>
      </x:c>
      <x:c r="P72" s="23" t="str">
        <x:v>Not Run</x:v>
      </x:c>
      <x:c r="Q72" s="23" t="str">
        <x:v>Not Run</x:v>
      </x:c>
      <x:c r="R72" s="23" t="str">
        <x:v>Not Run</x:v>
      </x:c>
      <x:c r="S72" s="23" t="str">
        <x:v>Backlog</x:v>
      </x:c>
      <x:c r="T72" s="29" t="str"/>
      <x:c r="U72" s="32" t="str"/>
      <x:c r="V72" s="23" t="str">
        <x:v>Current module source and workflow guide</x:v>
      </x:c>
      <x:c r="W72" s="23" t="str">
        <x:v>Not Run</x:v>
      </x:c>
      <x:c r="X72" s="23" t="str">
        <x:v>Not Run</x:v>
      </x:c>
      <x:c r="Y72" s="23" t="str">
        <x:v>Not Run</x:v>
      </x:c>
      <x:c r="Z72" s="23" t="str">
        <x:v>Not Run</x:v>
      </x:c>
      <x:c r="AA72" s="23" t="str">
        <x:v>Not Run</x:v>
      </x:c>
      <x:c r="AB72" s="23" t="str"/>
    </x:row>
    <x:row r="73">
      <x:c r="A73" s="23" t="str">
        <x:v>ONB-005</x:v>
      </x:c>
      <x:c r="B73" s="23" t="str">
        <x:v>W8 Onboarding</x:v>
      </x:c>
      <x:c r="C73" s="26" t="n">
        <x:v>68</x:v>
      </x:c>
      <x:c r="D73" s="23" t="str">
        <x:v>Template Authoring</x:v>
      </x:c>
      <x:c r="E73" s="23" t="str">
        <x:v>/hr/onboarding-templates/[id]/departments/[departmentId]</x:v>
      </x:c>
      <x:c r="F73" s="23" t="str">
        <x:v>HR Onboarding Admin, Department Owner</x:v>
      </x:c>
      <x:c r="G73" s="23" t="str">
        <x:v>[Partial] Authoring supports Departments, groups, and tasks but uses several nested dialogs and complex editor variants; publish readiness and unsaved state are hard to understand.</x:v>
      </x:c>
      <x:c r="H73" s="23" t="str">
        <x:v>Standardize one full-page Department checklist editor with hierarchy, Basic and Advanced task sections, unsaved protection, version badge, validation links, and Draft to Review to Published actions.</x:v>
      </x:c>
      <x:c r="I73" s="23" t="str">
        <x:v>UX/UI and workflow</x:v>
      </x:c>
      <x:c r="J73" s="23" t="str">
        <x:v>P1</x:v>
      </x:c>
      <x:c r="K73" s="23" t="str">
        <x:v>ONB-004</x:v>
      </x:c>
      <x:c r="L73" s="23" t="str">
        <x:v>A user can add Department to group to task to dependency, resolve every validation issue, and publish without switching between competing editors.</x:v>
      </x:c>
      <x:c r="M73" s="23" t="str">
        <x:v>Not Run: authoring component and API tests, dependency-cycle negative cases, keyboard, zoom, and mobile review, and HR browser UAT.</x:v>
      </x:c>
      <x:c r="N73" s="23" t="str">
        <x:v>Partial</x:v>
      </x:c>
      <x:c r="O73" s="23" t="str">
        <x:v>Backlog</x:v>
      </x:c>
      <x:c r="P73" s="23" t="str">
        <x:v>Not Run</x:v>
      </x:c>
      <x:c r="Q73" s="23" t="str">
        <x:v>Not Run</x:v>
      </x:c>
      <x:c r="R73" s="23" t="str">
        <x:v>Not Run</x:v>
      </x:c>
      <x:c r="S73" s="23" t="str">
        <x:v>Backlog</x:v>
      </x:c>
      <x:c r="T73" s="29" t="str"/>
      <x:c r="U73" s="32" t="str"/>
      <x:c r="V73" s="23" t="str">
        <x:v>Current module source and workflow guide</x:v>
      </x:c>
      <x:c r="W73" s="23" t="str">
        <x:v>Not Run</x:v>
      </x:c>
      <x:c r="X73" s="23" t="str">
        <x:v>Not Run</x:v>
      </x:c>
      <x:c r="Y73" s="23" t="str">
        <x:v>Not Run</x:v>
      </x:c>
      <x:c r="Z73" s="23" t="str">
        <x:v>Not Run</x:v>
      </x:c>
      <x:c r="AA73" s="23" t="str">
        <x:v>Not Run</x:v>
      </x:c>
      <x:c r="AB73" s="23" t="str"/>
    </x:row>
    <x:row r="74">
      <x:c r="A74" s="23" t="str">
        <x:v>ONB-006</x:v>
      </x:c>
      <x:c r="B74" s="23" t="str">
        <x:v>W8 Onboarding</x:v>
      </x:c>
      <x:c r="C74" s="26" t="n">
        <x:v>69</x:v>
      </x:c>
      <x:c r="D74" s="23" t="str">
        <x:v>Onboarding Start Preflight</x:v>
      </x:c>
      <x:c r="E74" s="23" t="str">
        <x:v>/hr/employee-onboarding and Employee Onboarding tab</x:v>
      </x:c>
      <x:c r="F74" s="23" t="str">
        <x:v>HR Onboarding Admin</x:v>
      </x:c>
      <x:c r="G74" s="23" t="str">
        <x:v>Preflight exists, but production flow must deterministically auto-resolve the Employee Designation template and explain no-template, unpublished, scope, and already-started blockers.</x:v>
      </x:c>
      <x:c r="H74" s="23" t="str">
        <x:v>Use Designation-based automatic resolution; show resolved template and version, task counts, warnings, remediation links, and an idempotent full-page Start action.</x:v>
      </x:c>
      <x:c r="I74" s="23" t="str">
        <x:v>UX/UI and workflow</x:v>
      </x:c>
      <x:c r="J74" s="23" t="str">
        <x:v>P0</x:v>
      </x:c>
      <x:c r="K74" s="23" t="str">
        <x:v>ONB-005; EMP-003</x:v>
      </x:c>
      <x:c r="L74" s="23" t="str">
        <x:v>HR does not manually paste a template ID; a mismatched Designation and template cannot start; repeated Start creates one Onboarding instance and snapshot.</x:v>
      </x:c>
      <x:c r="M74" s="23" t="str">
        <x:v>Not Run: template-resolution tests, transaction and database reconciliation, and HR browser UAT.</x:v>
      </x:c>
      <x:c r="N74" s="23" t="str">
        <x:v>Implemented / improvement needed</x:v>
      </x:c>
      <x:c r="O74" s="23" t="str">
        <x:v>Backlog</x:v>
      </x:c>
      <x:c r="P74" s="23" t="str">
        <x:v>Not Run</x:v>
      </x:c>
      <x:c r="Q74" s="23" t="str">
        <x:v>Not Run</x:v>
      </x:c>
      <x:c r="R74" s="23" t="str">
        <x:v>Not Run</x:v>
      </x:c>
      <x:c r="S74" s="23" t="str">
        <x:v>Backlog</x:v>
      </x:c>
      <x:c r="T74" s="29" t="str"/>
      <x:c r="U74" s="32" t="str"/>
      <x:c r="V74" s="23" t="str">
        <x:v>Current module source and workflow guide</x:v>
      </x:c>
      <x:c r="W74" s="23" t="str">
        <x:v>Not Run</x:v>
      </x:c>
      <x:c r="X74" s="23" t="str">
        <x:v>Not Run</x:v>
      </x:c>
      <x:c r="Y74" s="23" t="str">
        <x:v>Not Run</x:v>
      </x:c>
      <x:c r="Z74" s="23" t="str">
        <x:v>Not Run</x:v>
      </x:c>
      <x:c r="AA74" s="23" t="str">
        <x:v>Not Run</x:v>
      </x:c>
      <x:c r="AB74" s="23" t="str"/>
    </x:row>
    <x:row r="75">
      <x:c r="A75" s="23" t="str">
        <x:v>ONB-007</x:v>
      </x:c>
      <x:c r="B75" s="23" t="str">
        <x:v>W8 Onboarding</x:v>
      </x:c>
      <x:c r="C75" s="26" t="n">
        <x:v>70</x:v>
      </x:c>
      <x:c r="D75" s="23" t="str">
        <x:v>Onboarding Runtime Execution</x:v>
      </x:c>
      <x:c r="E75" s="23" t="str">
        <x:v>/hr/employee-onboarding/[id] and /my-workspace/onboarding</x:v>
      </x:c>
      <x:c r="F75" s="23" t="str">
        <x:v>Employee, Department Assignee, HR Monitor, Asset Custodian</x:v>
      </x:c>
      <x:c r="G75" s="23" t="str">
        <x:v>[Partial] Task data and actions exist, but Department queues, assignment ownership, arbitrary HR completion prevention, and the Asset-task handoff are not fully proven.</x:v>
      </x:c>
      <x:c r="H75" s="23" t="str">
        <x:v>Provide role-specific My Tasks, Department Queue, and HR Monitor views; show blockers and due status; enforce assignee and Department permissions for Start, Complete, Skip, and Reopen; link Asset fulfilment.</x:v>
      </x:c>
      <x:c r="I75" s="23" t="str">
        <x:v>UX/UI and workflow</x:v>
      </x:c>
      <x:c r="J75" s="23" t="str">
        <x:v>P0</x:v>
      </x:c>
      <x:c r="K75" s="23" t="str">
        <x:v>ONB-006; full Asset path depends on AST-005</x:v>
      </x:c>
      <x:c r="L75" s="23" t="str">
        <x:v>Each persona sees only authorized tasks; unassigned tasks have an owner action; dependencies block completion; an Asset task completes only from a verified Asset outcome.</x:v>
      </x:c>
      <x:c r="M75" s="23" t="str">
        <x:v>Not Run: RBAC and direct-ID tests, dependency and concurrency tests, and Employee, Department, HR, and Asset browser UAT.</x:v>
      </x:c>
      <x:c r="N75" s="23" t="str">
        <x:v>Partial</x:v>
      </x:c>
      <x:c r="O75" s="23" t="str">
        <x:v>Backlog</x:v>
      </x:c>
      <x:c r="P75" s="23" t="str">
        <x:v>Not Run</x:v>
      </x:c>
      <x:c r="Q75" s="23" t="str">
        <x:v>Not Run</x:v>
      </x:c>
      <x:c r="R75" s="23" t="str">
        <x:v>Not Run</x:v>
      </x:c>
      <x:c r="S75" s="23" t="str">
        <x:v>Backlog</x:v>
      </x:c>
      <x:c r="T75" s="29" t="str"/>
      <x:c r="U75" s="32" t="str"/>
      <x:c r="V75" s="23" t="str">
        <x:v>Current module source and workflow guide</x:v>
      </x:c>
      <x:c r="W75" s="23" t="str">
        <x:v>Not Run</x:v>
      </x:c>
      <x:c r="X75" s="23" t="str">
        <x:v>Not Run</x:v>
      </x:c>
      <x:c r="Y75" s="23" t="str">
        <x:v>Not Run</x:v>
      </x:c>
      <x:c r="Z75" s="23" t="str">
        <x:v>Not Run</x:v>
      </x:c>
      <x:c r="AA75" s="23" t="str">
        <x:v>Not Run</x:v>
      </x:c>
      <x:c r="AB75" s="23" t="str"/>
    </x:row>
    <x:row r="76">
      <x:c r="A76" s="23" t="str">
        <x:v>ONB-008</x:v>
      </x:c>
      <x:c r="B76" s="23" t="str">
        <x:v>W8 Onboarding</x:v>
      </x:c>
      <x:c r="C76" s="26" t="n">
        <x:v>71</x:v>
      </x:c>
      <x:c r="D76" s="23" t="str">
        <x:v>Onboarding Reminders and Notifications</x:v>
      </x:c>
      <x:c r="E76" s="23" t="str">
        <x:v>Onboarding runtime and worker</x:v>
      </x:c>
      <x:c r="F76" s="23" t="str">
        <x:v>Employee, Assignee, HR, Operations</x:v>
      </x:c>
      <x:c r="G76" s="23" t="str">
        <x:v>[Provider-dependent] [Partial] The reminder job risks processing only the first 200 records without stable paging; persistent notification and delivery evidence is incomplete.</x:v>
      </x:c>
      <x:c r="H76" s="23" t="str">
        <x:v>Add stable cursor pagination, bounded batches, idempotent reminder receipts, retry and dead-letter visibility, and in-app and email notification reconciliation.</x:v>
      </x:c>
      <x:c r="I76" s="23" t="str">
        <x:v>Backend hardening</x:v>
      </x:c>
      <x:c r="J76" s="23" t="str">
        <x:v>P0</x:v>
      </x:c>
      <x:c r="K76" s="23" t="str">
        <x:v>ONB-007; ENV-002</x:v>
      </x:c>
      <x:c r="L76" s="23" t="str">
        <x:v>More than 200 due tasks are each processed once; rerun creates no duplicate notification; failed delivery is visible and retryable.</x:v>
      </x:c>
      <x:c r="M76" s="23" t="str">
        <x:v>Not Run: scheduler tests with more than 200 rows, worker restart test, real email and in-app evidence, and database reconciliation.</x:v>
      </x:c>
      <x:c r="N76" s="23" t="str">
        <x:v>Partial / provider-dependent</x:v>
      </x:c>
      <x:c r="O76" s="23" t="str">
        <x:v>Backlog</x:v>
      </x:c>
      <x:c r="P76" s="23" t="str">
        <x:v>Not Run</x:v>
      </x:c>
      <x:c r="Q76" s="23" t="str">
        <x:v>Not Run</x:v>
      </x:c>
      <x:c r="R76" s="23" t="str">
        <x:v>Not Run</x:v>
      </x:c>
      <x:c r="S76" s="23" t="str">
        <x:v>Backlog</x:v>
      </x:c>
      <x:c r="T76" s="29" t="str"/>
      <x:c r="U76" s="32" t="str"/>
      <x:c r="V76" s="23" t="str">
        <x:v>Current module source and workflow guide</x:v>
      </x:c>
      <x:c r="W76" s="23" t="str">
        <x:v>Not Run</x:v>
      </x:c>
      <x:c r="X76" s="23" t="str">
        <x:v>Not Run</x:v>
      </x:c>
      <x:c r="Y76" s="23" t="str">
        <x:v>Not Run</x:v>
      </x:c>
      <x:c r="Z76" s="23" t="str">
        <x:v>Not Run</x:v>
      </x:c>
      <x:c r="AA76" s="23" t="str">
        <x:v>Not Run</x:v>
      </x:c>
      <x:c r="AB76" s="23" t="str"/>
    </x:row>
    <x:row r="77">
      <x:c r="A77" s="23" t="str">
        <x:v>CAL-001</x:v>
      </x:c>
      <x:c r="B77" s="23" t="str">
        <x:v>W9 Workforce setup</x:v>
      </x:c>
      <x:c r="C77" s="26" t="n">
        <x:v>72</x:v>
      </x:c>
      <x:c r="D77" s="23" t="str">
        <x:v>Business Calendar</x:v>
      </x:c>
      <x:c r="E77" s="23" t="str">
        <x:v>/administration/business-calendar</x:v>
      </x:c>
      <x:c r="F77" s="23" t="str">
        <x:v>HR and Calendar Admin</x:v>
      </x:c>
      <x:c r="G77" s="23" t="str">
        <x:v>Calendar selection and readiness exist, but create still uses FormSheet and users can enter advanced tools before understanding Company and Branch prerequisites.</x:v>
      </x:c>
      <x:c r="H77" s="23" t="str">
        <x:v>Replace the calendar create drawer with a dedicated page; add a readiness sequence and clear Company calendar versus Branch inheritance and override explanation.</x:v>
      </x:c>
      <x:c r="I77" s="23" t="str">
        <x:v>UX/UI and implementation</x:v>
      </x:c>
      <x:c r="J77" s="23" t="str">
        <x:v>P1</x:v>
      </x:c>
      <x:c r="K77" s="23" t="str">
        <x:v>UX-01–UX-06; REL-001, ENV-001; ADM-01–ADM-04</x:v>
      </x:c>
      <x:c r="L77" s="23" t="str">
        <x:v>A new Company can create its base calendar before Branch calendars; wrong-order actions are disabled with remediation; no major form opens in a drawer.</x:v>
      </x:c>
      <x:c r="M77" s="23" t="str">
        <x:v>Not Run: route and component tests plus Calendar Admin browser UAT.</x:v>
      </x:c>
      <x:c r="N77" s="23" t="str">
        <x:v>Implemented / improvement needed</x:v>
      </x:c>
      <x:c r="O77" s="23" t="str">
        <x:v>Backlog</x:v>
      </x:c>
      <x:c r="P77" s="23" t="str">
        <x:v>Not Run</x:v>
      </x:c>
      <x:c r="Q77" s="23" t="str">
        <x:v>Not Run</x:v>
      </x:c>
      <x:c r="R77" s="23" t="str">
        <x:v>Not Run</x:v>
      </x:c>
      <x:c r="S77" s="23" t="str">
        <x:v>Backlog</x:v>
      </x:c>
      <x:c r="T77" s="29" t="str"/>
      <x:c r="U77" s="32" t="str"/>
      <x:c r="V77" s="23" t="str">
        <x:v>Current module source and workflow guide</x:v>
      </x:c>
      <x:c r="W77" s="23" t="str">
        <x:v>Not Run</x:v>
      </x:c>
      <x:c r="X77" s="23" t="str">
        <x:v>Not Run</x:v>
      </x:c>
      <x:c r="Y77" s="23" t="str">
        <x:v>Not Run</x:v>
      </x:c>
      <x:c r="Z77" s="23" t="str">
        <x:v>Not Run</x:v>
      </x:c>
      <x:c r="AA77" s="23" t="str">
        <x:v>Not Run</x:v>
      </x:c>
      <x:c r="AB77" s="23" t="str"/>
    </x:row>
    <x:row r="78">
      <x:c r="A78" s="23" t="str">
        <x:v>CAL-002</x:v>
      </x:c>
      <x:c r="B78" s="23" t="str">
        <x:v>W9 Workforce setup</x:v>
      </x:c>
      <x:c r="C78" s="26" t="n">
        <x:v>73</x:v>
      </x:c>
      <x:c r="D78" s="23" t="str">
        <x:v>Calendar Versions and Impacts</x:v>
      </x:c>
      <x:c r="E78" s="23" t="str">
        <x:v>Calendar detail, versions, impacts, and preview</x:v>
      </x:c>
      <x:c r="F78" s="23" t="str">
        <x:v>Calendar Maker, Calendar Reviewer</x:v>
      </x:c>
      <x:c r="G78" s="23" t="str">
        <x:v>[High-risk] Draft, review, publish, amendment, and materialization affect Attendance and Leave; timezone and effective-date impact must be explicit.</x:v>
      </x:c>
      <x:c r="H78" s="23" t="str">
        <x:v>Add a lifecycle stepper, maker-reviewer separation, day preview, downstream impact summary, and post-publish materialization status with safe retry.</x:v>
      </x:c>
      <x:c r="I78" s="23" t="str">
        <x:v>UX/UI and workflow</x:v>
      </x:c>
      <x:c r="J78" s="23" t="str">
        <x:v>P0</x:v>
      </x:c>
      <x:c r="K78" s="23" t="str">
        <x:v>CAL-001</x:v>
      </x:c>
      <x:c r="L78" s="23" t="str">
        <x:v>A published version has one effective interval; the Reviewer differs where policy requires; Branch-local dates render correctly; failed materialization is not shown as fully active.</x:v>
      </x:c>
      <x:c r="M78" s="23" t="str">
        <x:v>Not Run: version overlap and runtime tests, DST and timezone cases, two-person browser UAT, and database runtime-row reconciliation.</x:v>
      </x:c>
      <x:c r="N78" s="23" t="str">
        <x:v>Implemented / improvement needed</x:v>
      </x:c>
      <x:c r="O78" s="23" t="str">
        <x:v>Backlog</x:v>
      </x:c>
      <x:c r="P78" s="23" t="str">
        <x:v>Not Run</x:v>
      </x:c>
      <x:c r="Q78" s="23" t="str">
        <x:v>Not Run</x:v>
      </x:c>
      <x:c r="R78" s="23" t="str">
        <x:v>Not Run</x:v>
      </x:c>
      <x:c r="S78" s="23" t="str">
        <x:v>Backlog</x:v>
      </x:c>
      <x:c r="T78" s="29" t="str"/>
      <x:c r="U78" s="32" t="str"/>
      <x:c r="V78" s="23" t="str">
        <x:v>Current module source and workflow guide</x:v>
      </x:c>
      <x:c r="W78" s="23" t="str">
        <x:v>Not Run</x:v>
      </x:c>
      <x:c r="X78" s="23" t="str">
        <x:v>Not Run</x:v>
      </x:c>
      <x:c r="Y78" s="23" t="str">
        <x:v>Not Run</x:v>
      </x:c>
      <x:c r="Z78" s="23" t="str">
        <x:v>Not Run</x:v>
      </x:c>
      <x:c r="AA78" s="23" t="str">
        <x:v>Not Run</x:v>
      </x:c>
      <x:c r="AB78" s="23" t="str"/>
    </x:row>
    <x:row r="79">
      <x:c r="A79" s="23" t="str">
        <x:v>CAL-003</x:v>
      </x:c>
      <x:c r="B79" s="23" t="str">
        <x:v>W9 Workforce setup</x:v>
      </x:c>
      <x:c r="C79" s="26" t="n">
        <x:v>74</x:v>
      </x:c>
      <x:c r="D79" s="23" t="str">
        <x:v>Calendar Events and Imports</x:v>
      </x:c>
      <x:c r="E79" s="23" t="str">
        <x:v>Calendar events, /administration/business-calendar/imports, and preview</x:v>
      </x:c>
      <x:c r="F79" s="23" t="str">
        <x:v>Calendar Admin, Reviewer</x:v>
      </x:c>
      <x:c r="G79" s="23" t="str">
        <x:v>[Provider-dependent] Import has multi-stage validation, but production file handling, duplicate choices, and accessible row correction need validation.</x:v>
      </x:c>
      <x:c r="H79" s="23" t="str">
        <x:v>Keep import as a full page; add upload to validate to select to approve to add-to-draft progress, row-level errors, duplicate resolution, and clear not-published messaging.</x:v>
      </x:c>
      <x:c r="I79" s="23" t="str">
        <x:v>UX/UI and implementation</x:v>
      </x:c>
      <x:c r="J79" s="23" t="str">
        <x:v>P1</x:v>
      </x:c>
      <x:c r="K79" s="23" t="str">
        <x:v>CAL-002; ENV-002 where secure storage applies</x:v>
      </x:c>
      <x:c r="L79" s="23" t="str">
        <x:v>Invalid rows never enter Draft; approved rows enter once; duplicate choices are auditable; import cannot silently publish.</x:v>
      </x:c>
      <x:c r="M79" s="23" t="str">
        <x:v>Not Run: parser and API tests, malicious and large file cases, and Maker/Reviewer browser UAT.</x:v>
      </x:c>
      <x:c r="N79" s="23" t="str">
        <x:v>Partial / provider-dependent</x:v>
      </x:c>
      <x:c r="O79" s="23" t="str">
        <x:v>Backlog</x:v>
      </x:c>
      <x:c r="P79" s="23" t="str">
        <x:v>Not Run</x:v>
      </x:c>
      <x:c r="Q79" s="23" t="str">
        <x:v>Not Run</x:v>
      </x:c>
      <x:c r="R79" s="23" t="str">
        <x:v>Not Run</x:v>
      </x:c>
      <x:c r="S79" s="23" t="str">
        <x:v>Backlog</x:v>
      </x:c>
      <x:c r="T79" s="29" t="str"/>
      <x:c r="U79" s="32" t="str"/>
      <x:c r="V79" s="23" t="str">
        <x:v>Current module source and workflow guide</x:v>
      </x:c>
      <x:c r="W79" s="23" t="str">
        <x:v>Not Run</x:v>
      </x:c>
      <x:c r="X79" s="23" t="str">
        <x:v>Not Run</x:v>
      </x:c>
      <x:c r="Y79" s="23" t="str">
        <x:v>Not Run</x:v>
      </x:c>
      <x:c r="Z79" s="23" t="str">
        <x:v>Not Run</x:v>
      </x:c>
      <x:c r="AA79" s="23" t="str">
        <x:v>Not Run</x:v>
      </x:c>
      <x:c r="AB79" s="23" t="str"/>
    </x:row>
    <x:row r="80">
      <x:c r="A80" s="23" t="str">
        <x:v>SCH-001</x:v>
      </x:c>
      <x:c r="B80" s="23" t="str">
        <x:v>W9 Workforce setup</x:v>
      </x:c>
      <x:c r="C80" s="26" t="n">
        <x:v>75</x:v>
      </x:c>
      <x:c r="D80" s="23" t="str">
        <x:v>Shifts</x:v>
      </x:c>
      <x:c r="E80" s="23" t="str">
        <x:v>/administration/shifts</x:v>
      </x:c>
      <x:c r="F80" s="23" t="str">
        <x:v>HR Schedule Admin</x:v>
      </x:c>
      <x:c r="G80" s="23" t="str">
        <x:v>Shift create and edit are dialog-based, and overnight, break, and timezone implications need stronger validation.</x:v>
      </x:c>
      <x:c r="H80" s="23" t="str">
        <x:v>Move Shift create and edit to full pages; show effective work span, overnight indicator, break rules, and a Branch-timezone example before save.</x:v>
      </x:c>
      <x:c r="I80" s="23" t="str">
        <x:v>UX/UI and implementation</x:v>
      </x:c>
      <x:c r="J80" s="23" t="str">
        <x:v>P1</x:v>
      </x:c>
      <x:c r="K80" s="23" t="str">
        <x:v>CAL-002; UX-01–UX-06</x:v>
      </x:c>
      <x:c r="L80" s="23" t="str">
        <x:v>Valid day and night Shifts save; invalid overlaps and durations fail clearly; read-only users cannot edit.</x:v>
      </x:c>
      <x:c r="M80" s="23" t="str">
        <x:v>Not Run: schema and API tests, night-shift browser UAT, and 200 percent zoom and keyboard review.</x:v>
      </x:c>
      <x:c r="N80" s="23" t="str">
        <x:v>Implemented / improvement needed</x:v>
      </x:c>
      <x:c r="O80" s="23" t="str">
        <x:v>Backlog</x:v>
      </x:c>
      <x:c r="P80" s="23" t="str">
        <x:v>Not Run</x:v>
      </x:c>
      <x:c r="Q80" s="23" t="str">
        <x:v>Not Run</x:v>
      </x:c>
      <x:c r="R80" s="23" t="str">
        <x:v>Not Run</x:v>
      </x:c>
      <x:c r="S80" s="23" t="str">
        <x:v>Backlog</x:v>
      </x:c>
      <x:c r="T80" s="29" t="str"/>
      <x:c r="U80" s="32" t="str"/>
      <x:c r="V80" s="23" t="str">
        <x:v>Current module source and workflow guide</x:v>
      </x:c>
      <x:c r="W80" s="23" t="str">
        <x:v>Not Run</x:v>
      </x:c>
      <x:c r="X80" s="23" t="str">
        <x:v>Not Run</x:v>
      </x:c>
      <x:c r="Y80" s="23" t="str">
        <x:v>Not Run</x:v>
      </x:c>
      <x:c r="Z80" s="23" t="str">
        <x:v>Not Run</x:v>
      </x:c>
      <x:c r="AA80" s="23" t="str">
        <x:v>Not Run</x:v>
      </x:c>
      <x:c r="AB80" s="23" t="str"/>
    </x:row>
    <x:row r="81">
      <x:c r="A81" s="23" t="str">
        <x:v>SCH-002</x:v>
      </x:c>
      <x:c r="B81" s="23" t="str">
        <x:v>W9 Workforce setup</x:v>
      </x:c>
      <x:c r="C81" s="26" t="n">
        <x:v>76</x:v>
      </x:c>
      <x:c r="D81" s="23" t="str">
        <x:v>Work Schedule and Workforce Calendar</x:v>
      </x:c>
      <x:c r="E81" s="23" t="str">
        <x:v>/hr/work-schedule and /hr/leave/calendar</x:v>
      </x:c>
      <x:c r="F81" s="23" t="str">
        <x:v>Schedule Admin, HR, Manager</x:v>
      </x:c>
      <x:c r="G81" s="23" t="str">
        <x:v>[Partial] Roster generation and override use sheets; raw IDs can appear for missing relations; readiness and downstream publication and lock effects are spread across screens.</x:v>
      </x:c>
      <x:c r="H81" s="23" t="str">
        <x:v>Provide a full-page Generate and Regenerate flow, guided override action, missing-Shift remediation, Draft to Published to Locked lifecycle, and linked read-only Workforce Calendar.</x:v>
      </x:c>
      <x:c r="I81" s="23" t="str">
        <x:v>UX/UI and workflow</x:v>
      </x:c>
      <x:c r="J81" s="23" t="str">
        <x:v>P0</x:v>
      </x:c>
      <x:c r="K81" s="23" t="str">
        <x:v>SCH-001; CAL-002; EMP-003</x:v>
      </x:c>
      <x:c r="L81" s="23" t="str">
        <x:v>No working entry publishes without a Shift; version conflict is recoverable; a locked roster rejects mutation; Workforce Calendar matches the published schedule and Leave.</x:v>
      </x:c>
      <x:c r="M81" s="23" t="str">
        <x:v>Not Run: generation, lock, and concurrency tests, month-boundary and night-shift cases, and Schedule Admin/Manager browser UAT.</x:v>
      </x:c>
      <x:c r="N81" s="23" t="str">
        <x:v>Partial</x:v>
      </x:c>
      <x:c r="O81" s="23" t="str">
        <x:v>Backlog</x:v>
      </x:c>
      <x:c r="P81" s="23" t="str">
        <x:v>Not Run</x:v>
      </x:c>
      <x:c r="Q81" s="23" t="str">
        <x:v>Not Run</x:v>
      </x:c>
      <x:c r="R81" s="23" t="str">
        <x:v>Not Run</x:v>
      </x:c>
      <x:c r="S81" s="23" t="str">
        <x:v>Backlog</x:v>
      </x:c>
      <x:c r="T81" s="29" t="str"/>
      <x:c r="U81" s="32" t="str"/>
      <x:c r="V81" s="23" t="str">
        <x:v>Current module source and workflow guide</x:v>
      </x:c>
      <x:c r="W81" s="23" t="str">
        <x:v>Not Run</x:v>
      </x:c>
      <x:c r="X81" s="23" t="str">
        <x:v>Not Run</x:v>
      </x:c>
      <x:c r="Y81" s="23" t="str">
        <x:v>Not Run</x:v>
      </x:c>
      <x:c r="Z81" s="23" t="str">
        <x:v>Not Run</x:v>
      </x:c>
      <x:c r="AA81" s="23" t="str">
        <x:v>Not Run</x:v>
      </x:c>
      <x:c r="AB81" s="23" t="str"/>
    </x:row>
    <x:row r="82">
      <x:c r="A82" s="23" t="str">
        <x:v>ATT-001</x:v>
      </x:c>
      <x:c r="B82" s="23" t="str">
        <x:v>W10 Attendance</x:v>
      </x:c>
      <x:c r="C82" s="26" t="n">
        <x:v>77</x:v>
      </x:c>
      <x:c r="D82" s="23" t="str">
        <x:v>Attendance Daily</x:v>
      </x:c>
      <x:c r="E82" s="23" t="str">
        <x:v>/hr/attendance</x:v>
      </x:c>
      <x:c r="F82" s="23" t="str">
        <x:v>HR Attendance Admin, Manager</x:v>
      </x:c>
      <x:c r="G82" s="23" t="str">
        <x:v>[Scale issue] The current screen filters returned data client-side and renders only the first 100; Today is based on browser UTC, and Correct visibility is not visibly role-derived.</x:v>
      </x:c>
      <x:c r="H82" s="23" t="str">
        <x:v>Add server paging, search, status, date, Company, and Branch filters, Branch-business-date handling, total counts, and server-authorized row actions.</x:v>
      </x:c>
      <x:c r="I82" s="23" t="str">
        <x:v>UX/UI and workflow</x:v>
      </x:c>
      <x:c r="J82" s="23" t="str">
        <x:v>P0</x:v>
      </x:c>
      <x:c r="K82" s="23" t="str">
        <x:v>SCH-002; REL-001, ENV-001</x:v>
      </x:c>
      <x:c r="L82" s="23" t="str">
        <x:v>Record 101 and later is reachable; filters and totals match the API; Branch-local Today is correct; unauthorized users cannot see or call Correct.</x:v>
      </x:c>
      <x:c r="M82" s="23" t="str">
        <x:v>Not Run: pagination contract tests, timezone tests, direct-ID denial, and two-Branch browser UAT.</x:v>
      </x:c>
      <x:c r="N82" s="23" t="str">
        <x:v>Implemented / improvement needed</x:v>
      </x:c>
      <x:c r="O82" s="23" t="str">
        <x:v>Backlog</x:v>
      </x:c>
      <x:c r="P82" s="23" t="str">
        <x:v>Not Run</x:v>
      </x:c>
      <x:c r="Q82" s="23" t="str">
        <x:v>Not Run</x:v>
      </x:c>
      <x:c r="R82" s="23" t="str">
        <x:v>Not Run</x:v>
      </x:c>
      <x:c r="S82" s="23" t="str">
        <x:v>Backlog</x:v>
      </x:c>
      <x:c r="T82" s="29" t="str"/>
      <x:c r="U82" s="32" t="str"/>
      <x:c r="V82" s="23" t="str">
        <x:v>Current module source and workflow guide</x:v>
      </x:c>
      <x:c r="W82" s="23" t="str">
        <x:v>Not Run</x:v>
      </x:c>
      <x:c r="X82" s="23" t="str">
        <x:v>Not Run</x:v>
      </x:c>
      <x:c r="Y82" s="23" t="str">
        <x:v>Not Run</x:v>
      </x:c>
      <x:c r="Z82" s="23" t="str">
        <x:v>Not Run</x:v>
      </x:c>
      <x:c r="AA82" s="23" t="str">
        <x:v>Not Run</x:v>
      </x:c>
      <x:c r="AB82" s="23" t="str"/>
    </x:row>
    <x:row r="83">
      <x:c r="A83" s="23" t="str">
        <x:v>ATT-002</x:v>
      </x:c>
      <x:c r="B83" s="23" t="str">
        <x:v>W10 Attendance</x:v>
      </x:c>
      <x:c r="C83" s="26" t="n">
        <x:v>78</x:v>
      </x:c>
      <x:c r="D83" s="23" t="str">
        <x:v>Employee Check-in and Check-out</x:v>
      </x:c>
      <x:c r="E83" s="23" t="str">
        <x:v>My Workspace</x:v>
      </x:c>
      <x:c r="F83" s="23" t="str">
        <x:v>Employee</x:v>
      </x:c>
      <x:c r="G83" s="23" t="str">
        <x:v>[Runtime-dependent] Check-in and check-out depend on an active Employee/User link, published schedule, Branch timezone, and idempotent handling; current UI success alone is insufficient.</x:v>
      </x:c>
      <x:c r="H83" s="23" t="str">
        <x:v>Add readiness and status explanation, current business date and Shift, duplicate-click protection, offline and error recovery, and authoritative server timestamps.</x:v>
      </x:c>
      <x:c r="I83" s="23" t="str">
        <x:v>UX/UI and workflow</x:v>
      </x:c>
      <x:c r="J83" s="23" t="str">
        <x:v>P0</x:v>
      </x:c>
      <x:c r="K83" s="23" t="str">
        <x:v>ATT-001; SCH-002; EMP-003</x:v>
      </x:c>
      <x:c r="L83" s="23" t="str">
        <x:v>One check-in and one check-out are recorded; repeated or retried calls do not duplicate punches; missing prerequisites identify the responsible setup page.</x:v>
      </x:c>
      <x:c r="M83" s="23" t="str">
        <x:v>Not Run: idempotency and concurrency tests, real Employee browser UAT, server-time verification, and database reconciliation.</x:v>
      </x:c>
      <x:c r="N83" s="23" t="str">
        <x:v>Implemented / improvement needed</x:v>
      </x:c>
      <x:c r="O83" s="23" t="str">
        <x:v>Backlog</x:v>
      </x:c>
      <x:c r="P83" s="23" t="str">
        <x:v>Not Run</x:v>
      </x:c>
      <x:c r="Q83" s="23" t="str">
        <x:v>Not Run</x:v>
      </x:c>
      <x:c r="R83" s="23" t="str">
        <x:v>Not Run</x:v>
      </x:c>
      <x:c r="S83" s="23" t="str">
        <x:v>Backlog</x:v>
      </x:c>
      <x:c r="T83" s="29" t="str"/>
      <x:c r="U83" s="32" t="str"/>
      <x:c r="V83" s="23" t="str">
        <x:v>Current module source and workflow guide</x:v>
      </x:c>
      <x:c r="W83" s="23" t="str">
        <x:v>Not Run</x:v>
      </x:c>
      <x:c r="X83" s="23" t="str">
        <x:v>Not Run</x:v>
      </x:c>
      <x:c r="Y83" s="23" t="str">
        <x:v>Not Run</x:v>
      </x:c>
      <x:c r="Z83" s="23" t="str">
        <x:v>Not Run</x:v>
      </x:c>
      <x:c r="AA83" s="23" t="str">
        <x:v>Not Run</x:v>
      </x:c>
      <x:c r="AB83" s="23" t="str"/>
    </x:row>
    <x:row r="84">
      <x:c r="A84" s="23" t="str">
        <x:v>ATT-003</x:v>
      </x:c>
      <x:c r="B84" s="23" t="str">
        <x:v>W10 Attendance</x:v>
      </x:c>
      <x:c r="C84" s="26" t="n">
        <x:v>79</x:v>
      </x:c>
      <x:c r="D84" s="23" t="str">
        <x:v>Attendance Correction</x:v>
      </x:c>
      <x:c r="E84" s="23" t="str">
        <x:v>/hr/attendance record</x:v>
      </x:c>
      <x:c r="F84" s="23" t="str">
        <x:v>HR Attendance Admin</x:v>
      </x:c>
      <x:c r="G84" s="23" t="str">
        <x:v>Correction currently uses a side sheet; material time changes need full context, before and after values, and durable reasons.</x:v>
      </x:c>
      <x:c r="H84" s="23" t="str">
        <x:v>Replace the correction sheet with a dedicated record and correction page showing punches, schedule, exceptions, current version, proposed result, and required reason.</x:v>
      </x:c>
      <x:c r="I84" s="23" t="str">
        <x:v>UX/UI and workflow</x:v>
      </x:c>
      <x:c r="J84" s="23" t="str">
        <x:v>P1</x:v>
      </x:c>
      <x:c r="K84" s="23" t="str">
        <x:v>ATT-001</x:v>
      </x:c>
      <x:c r="L84" s="23" t="str">
        <x:v>Correction cannot submit without a reason; a stale version preserves user input and offers Reload; audit shows before and after values and actor.</x:v>
      </x:c>
      <x:c r="M84" s="23" t="str">
        <x:v>Not Run: API and version tests, concurrent correction, and HR browser UAT.</x:v>
      </x:c>
      <x:c r="N84" s="23" t="str">
        <x:v>Implemented / improvement needed</x:v>
      </x:c>
      <x:c r="O84" s="23" t="str">
        <x:v>Backlog</x:v>
      </x:c>
      <x:c r="P84" s="23" t="str">
        <x:v>Not Run</x:v>
      </x:c>
      <x:c r="Q84" s="23" t="str">
        <x:v>Not Run</x:v>
      </x:c>
      <x:c r="R84" s="23" t="str">
        <x:v>Not Run</x:v>
      </x:c>
      <x:c r="S84" s="23" t="str">
        <x:v>Backlog</x:v>
      </x:c>
      <x:c r="T84" s="29" t="str"/>
      <x:c r="U84" s="32" t="str"/>
      <x:c r="V84" s="23" t="str">
        <x:v>Current module source and workflow guide</x:v>
      </x:c>
      <x:c r="W84" s="23" t="str">
        <x:v>Not Run</x:v>
      </x:c>
      <x:c r="X84" s="23" t="str">
        <x:v>Not Run</x:v>
      </x:c>
      <x:c r="Y84" s="23" t="str">
        <x:v>Not Run</x:v>
      </x:c>
      <x:c r="Z84" s="23" t="str">
        <x:v>Not Run</x:v>
      </x:c>
      <x:c r="AA84" s="23" t="str">
        <x:v>Not Run</x:v>
      </x:c>
      <x:c r="AB84" s="23" t="str"/>
    </x:row>
    <x:row r="85">
      <x:c r="A85" s="23" t="str">
        <x:v>ATT-004</x:v>
      </x:c>
      <x:c r="B85" s="23" t="str">
        <x:v>W10 Attendance</x:v>
      </x:c>
      <x:c r="C85" s="26" t="n">
        <x:v>80</x:v>
      </x:c>
      <x:c r="D85" s="23" t="str">
        <x:v>Attendance Exceptions and Regularization</x:v>
      </x:c>
      <x:c r="E85" s="23" t="str">
        <x:v>/hr/attendance/exceptions</x:v>
      </x:c>
      <x:c r="F85" s="23" t="str">
        <x:v>Employee, Manager, HR</x:v>
      </x:c>
      <x:c r="G85" s="23" t="str">
        <x:v>Current filters accept raw Employee ID and Branch ID; submission and review are sheet-based, and ownership and status handoff can be unclear.</x:v>
      </x:c>
      <x:c r="H85" s="23" t="str">
        <x:v>Use scoped Employee and Branch lookups, a dedicated exception detail and regularization page, current owner and status history, and short approval and rejection dialogs with reasons.</x:v>
      </x:c>
      <x:c r="I85" s="23" t="str">
        <x:v>UX/UI and implementation</x:v>
      </x:c>
      <x:c r="J85" s="23" t="str">
        <x:v>P1</x:v>
      </x:c>
      <x:c r="K85" s="23" t="str">
        <x:v>ATT-002; ATT-003</x:v>
      </x:c>
      <x:c r="L85" s="23" t="str">
        <x:v>No raw ID entry is required; an Employee can submit their own valid exception; only the assigned Approver acts; rejection returns a visible reason.</x:v>
      </x:c>
      <x:c r="M85" s="23" t="str">
        <x:v>Not Run: RBAC and direct-ID tests plus Employee, Manager, and HR browser UAT.</x:v>
      </x:c>
      <x:c r="N85" s="23" t="str">
        <x:v>Implemented / improvement needed</x:v>
      </x:c>
      <x:c r="O85" s="23" t="str">
        <x:v>Backlog</x:v>
      </x:c>
      <x:c r="P85" s="23" t="str">
        <x:v>Not Run</x:v>
      </x:c>
      <x:c r="Q85" s="23" t="str">
        <x:v>Not Run</x:v>
      </x:c>
      <x:c r="R85" s="23" t="str">
        <x:v>Not Run</x:v>
      </x:c>
      <x:c r="S85" s="23" t="str">
        <x:v>Backlog</x:v>
      </x:c>
      <x:c r="T85" s="29" t="str"/>
      <x:c r="U85" s="32" t="str"/>
      <x:c r="V85" s="23" t="str">
        <x:v>Current module source and workflow guide</x:v>
      </x:c>
      <x:c r="W85" s="23" t="str">
        <x:v>Not Run</x:v>
      </x:c>
      <x:c r="X85" s="23" t="str">
        <x:v>Not Run</x:v>
      </x:c>
      <x:c r="Y85" s="23" t="str">
        <x:v>Not Run</x:v>
      </x:c>
      <x:c r="Z85" s="23" t="str">
        <x:v>Not Run</x:v>
      </x:c>
      <x:c r="AA85" s="23" t="str">
        <x:v>Not Run</x:v>
      </x:c>
      <x:c r="AB85" s="23" t="str"/>
    </x:row>
    <x:row r="86">
      <x:c r="A86" s="23" t="str">
        <x:v>ATT-005</x:v>
      </x:c>
      <x:c r="B86" s="23" t="str">
        <x:v>W10 Attendance</x:v>
      </x:c>
      <x:c r="C86" s="26" t="n">
        <x:v>81</x:v>
      </x:c>
      <x:c r="D86" s="23" t="str">
        <x:v>Attendance Periods</x:v>
      </x:c>
      <x:c r="E86" s="23" t="str">
        <x:v>/hr/attendance/periods</x:v>
      </x:c>
      <x:c r="F86" s="23" t="str">
        <x:v>Payroll and Attendance Controller</x:v>
      </x:c>
      <x:c r="G86" s="23" t="str">
        <x:v>Period filters use raw IDs, and blocker counts are not direct remediation links; the lifecycle must reconcile with Payroll.</x:v>
      </x:c>
      <x:c r="H86" s="23" t="str">
        <x:v>Add scoped selectors, a period detail page, actionable blocker links, and an explicit Open to Reviewed to Locked to Payroll Pending to Closed or Reopened timeline.</x:v>
      </x:c>
      <x:c r="I86" s="23" t="str">
        <x:v>UX/UI and workflow</x:v>
      </x:c>
      <x:c r="J86" s="23" t="str">
        <x:v>P0</x:v>
      </x:c>
      <x:c r="K86" s="23" t="str">
        <x:v>ATT-004; SCH-002</x:v>
      </x:c>
      <x:c r="L86" s="23" t="str">
        <x:v>Lock is blocked while missing-punch or submitted-regularization items remain; each count links to filtered work; Payroll sees only valid locked or pending periods.</x:v>
      </x:c>
      <x:c r="M86" s="23" t="str">
        <x:v>Not Run: lifecycle and permission tests, reopen concurrency, and Attendance/Payroll browser plus database reconciliation.</x:v>
      </x:c>
      <x:c r="N86" s="23" t="str">
        <x:v>Implemented / improvement needed</x:v>
      </x:c>
      <x:c r="O86" s="23" t="str">
        <x:v>Backlog</x:v>
      </x:c>
      <x:c r="P86" s="23" t="str">
        <x:v>Not Run</x:v>
      </x:c>
      <x:c r="Q86" s="23" t="str">
        <x:v>Not Run</x:v>
      </x:c>
      <x:c r="R86" s="23" t="str">
        <x:v>Not Run</x:v>
      </x:c>
      <x:c r="S86" s="23" t="str">
        <x:v>Backlog</x:v>
      </x:c>
      <x:c r="T86" s="29" t="str"/>
      <x:c r="U86" s="32" t="str"/>
      <x:c r="V86" s="23" t="str">
        <x:v>Current module source and workflow guide</x:v>
      </x:c>
      <x:c r="W86" s="23" t="str">
        <x:v>Not Run</x:v>
      </x:c>
      <x:c r="X86" s="23" t="str">
        <x:v>Not Run</x:v>
      </x:c>
      <x:c r="Y86" s="23" t="str">
        <x:v>Not Run</x:v>
      </x:c>
      <x:c r="Z86" s="23" t="str">
        <x:v>Not Run</x:v>
      </x:c>
      <x:c r="AA86" s="23" t="str">
        <x:v>Not Run</x:v>
      </x:c>
      <x:c r="AB86" s="23" t="str"/>
    </x:row>
    <x:row r="87">
      <x:c r="A87" s="23" t="str">
        <x:v>CO-001</x:v>
      </x:c>
      <x:c r="B87" s="23" t="str">
        <x:v>W11 Leave and overtime</x:v>
      </x:c>
      <x:c r="C87" s="26" t="n">
        <x:v>82</x:v>
      </x:c>
      <x:c r="D87" s="23" t="str">
        <x:v>Comp-off</x:v>
      </x:c>
      <x:c r="E87" s="23" t="str">
        <x:v>/hr/leave/comp-off and Apply Leave</x:v>
      </x:c>
      <x:c r="F87" s="23" t="str">
        <x:v>Employee, HR Leave Admin</x:v>
      </x:c>
      <x:c r="G87" s="23" t="str">
        <x:v>[Partial] Credits are visible and revocable, but the earn to reserve to use to expire or revoke lifecycle and Employee usability are not presented together.</x:v>
      </x:c>
      <x:c r="H87" s="23" t="str">
        <x:v>Add a credit ledger with source Overtime and available, reserved, used, and expiry states; include Comp-off in Leave preview and require audited reasons for Revoke.</x:v>
      </x:c>
      <x:c r="I87" s="23" t="str">
        <x:v>UX/UI and workflow</x:v>
      </x:c>
      <x:c r="J87" s="23" t="str">
        <x:v>P1</x:v>
      </x:c>
      <x:c r="K87" s="23" t="str">
        <x:v>OVT-001; LEV-004</x:v>
      </x:c>
      <x:c r="L87" s="23" t="str">
        <x:v>An Employee can consume only available unexpired credit; concurrent requests cannot overuse it; Revoke is blocked when reserved or used and records a reason.</x:v>
      </x:c>
      <x:c r="M87" s="23" t="str">
        <x:v>Not Run: ledger, concurrency, and expiry tests and Employee/HR browser UAT.</x:v>
      </x:c>
      <x:c r="N87" s="23" t="str">
        <x:v>Partial</x:v>
      </x:c>
      <x:c r="O87" s="23" t="str">
        <x:v>Backlog</x:v>
      </x:c>
      <x:c r="P87" s="23" t="str">
        <x:v>Not Run</x:v>
      </x:c>
      <x:c r="Q87" s="23" t="str">
        <x:v>Not Run</x:v>
      </x:c>
      <x:c r="R87" s="23" t="str">
        <x:v>Not Run</x:v>
      </x:c>
      <x:c r="S87" s="23" t="str">
        <x:v>Backlog</x:v>
      </x:c>
      <x:c r="T87" s="29" t="str"/>
      <x:c r="U87" s="32" t="str"/>
      <x:c r="V87" s="23" t="str">
        <x:v>Current module source and workflow guide</x:v>
      </x:c>
      <x:c r="W87" s="23" t="str">
        <x:v>Not Run</x:v>
      </x:c>
      <x:c r="X87" s="23" t="str">
        <x:v>Not Run</x:v>
      </x:c>
      <x:c r="Y87" s="23" t="str">
        <x:v>Not Run</x:v>
      </x:c>
      <x:c r="Z87" s="23" t="str">
        <x:v>Not Run</x:v>
      </x:c>
      <x:c r="AA87" s="23" t="str">
        <x:v>Not Run</x:v>
      </x:c>
      <x:c r="AB87" s="23" t="str"/>
    </x:row>
    <x:row r="88">
      <x:c r="A88" s="23" t="str">
        <x:v>LEV-001</x:v>
      </x:c>
      <x:c r="B88" s="23" t="str">
        <x:v>W11 Leave and overtime</x:v>
      </x:c>
      <x:c r="C88" s="26" t="n">
        <x:v>83</x:v>
      </x:c>
      <x:c r="D88" s="23" t="str">
        <x:v>Leave Setup</x:v>
      </x:c>
      <x:c r="E88" s="23" t="str">
        <x:v>/hr/leave/types and /hr/leave/policies</x:v>
      </x:c>
      <x:c r="F88" s="23" t="str">
        <x:v>HR Leave Admin</x:v>
      </x:c>
      <x:c r="G88" s="23" t="str">
        <x:v>Leave Types and Policies are split and dialog-based; the prerequisite sequence and effective scope are not immediately clear.</x:v>
      </x:c>
      <x:c r="H88" s="23" t="str">
        <x:v>Create a full-page setup flow: Company Leave Types to Branch, Department, and Designation policy matrix to balances, with clear scope and effective-year guidance.</x:v>
      </x:c>
      <x:c r="I88" s="23" t="str">
        <x:v>UX/UI and workflow</x:v>
      </x:c>
      <x:c r="J88" s="23" t="str">
        <x:v>P1</x:v>
      </x:c>
      <x:c r="K88" s="23" t="str">
        <x:v>CAL-002; EMP-003; UX-01–UX-06</x:v>
      </x:c>
      <x:c r="L88" s="23" t="str">
        <x:v>No major setup form opens in a drawer; invalid scope combinations fail; the setup page identifies the next missing prerequisite.</x:v>
      </x:c>
      <x:c r="M88" s="23" t="str">
        <x:v>Not Run: form and API scope tests and HR Leave Admin browser UAT.</x:v>
      </x:c>
      <x:c r="N88" s="23" t="str">
        <x:v>Implemented / improvement needed</x:v>
      </x:c>
      <x:c r="O88" s="23" t="str">
        <x:v>Backlog</x:v>
      </x:c>
      <x:c r="P88" s="23" t="str">
        <x:v>Not Run</x:v>
      </x:c>
      <x:c r="Q88" s="23" t="str">
        <x:v>Not Run</x:v>
      </x:c>
      <x:c r="R88" s="23" t="str">
        <x:v>Not Run</x:v>
      </x:c>
      <x:c r="S88" s="23" t="str">
        <x:v>Backlog</x:v>
      </x:c>
      <x:c r="T88" s="29" t="str"/>
      <x:c r="U88" s="32" t="str"/>
      <x:c r="V88" s="23" t="str">
        <x:v>Current module source and workflow guide</x:v>
      </x:c>
      <x:c r="W88" s="23" t="str">
        <x:v>Not Run</x:v>
      </x:c>
      <x:c r="X88" s="23" t="str">
        <x:v>Not Run</x:v>
      </x:c>
      <x:c r="Y88" s="23" t="str">
        <x:v>Not Run</x:v>
      </x:c>
      <x:c r="Z88" s="23" t="str">
        <x:v>Not Run</x:v>
      </x:c>
      <x:c r="AA88" s="23" t="str">
        <x:v>Not Run</x:v>
      </x:c>
      <x:c r="AB88" s="23" t="str"/>
    </x:row>
    <x:row r="89">
      <x:c r="A89" s="23" t="str">
        <x:v>LEV-002</x:v>
      </x:c>
      <x:c r="B89" s="23" t="str">
        <x:v>W11 Leave and overtime</x:v>
      </x:c>
      <x:c r="C89" s="26" t="n">
        <x:v>84</x:v>
      </x:c>
      <x:c r="D89" s="23" t="str">
        <x:v>Leave Policy Matrix</x:v>
      </x:c>
      <x:c r="E89" s="23" t="str">
        <x:v>/hr/leave/policies</x:v>
      </x:c>
      <x:c r="F89" s="23" t="str">
        <x:v>HR Leave Admin</x:v>
      </x:c>
      <x:c r="G89" s="23" t="str">
        <x:v>The matrix warns that save replaces scope and does not update balances, but impact and reconciliation still require manual interpretation.</x:v>
      </x:c>
      <x:c r="H89" s="23" t="str">
        <x:v>Add an explicit review summary, changed-cell list, affected Employee counts, mandatory reason, and direct next action to dry-run balance generation.</x:v>
      </x:c>
      <x:c r="I89" s="23" t="str">
        <x:v>UX/UI and workflow</x:v>
      </x:c>
      <x:c r="J89" s="23" t="str">
        <x:v>P0</x:v>
      </x:c>
      <x:c r="K89" s="23" t="str">
        <x:v>LEV-001</x:v>
      </x:c>
      <x:c r="L89" s="23" t="str">
        <x:v>Saved scope exactly matches Review; a stale snapshot is rejected safely; existing balances remain unchanged until an explicit generation action.</x:v>
      </x:c>
      <x:c r="M89" s="23" t="str">
        <x:v>Not Run: snapshot and concurrency tests, entitlement math tests, and browser review and save UAT.</x:v>
      </x:c>
      <x:c r="N89" s="23" t="str">
        <x:v>Implemented / improvement needed</x:v>
      </x:c>
      <x:c r="O89" s="23" t="str">
        <x:v>Backlog</x:v>
      </x:c>
      <x:c r="P89" s="23" t="str">
        <x:v>Not Run</x:v>
      </x:c>
      <x:c r="Q89" s="23" t="str">
        <x:v>Not Run</x:v>
      </x:c>
      <x:c r="R89" s="23" t="str">
        <x:v>Not Run</x:v>
      </x:c>
      <x:c r="S89" s="23" t="str">
        <x:v>Backlog</x:v>
      </x:c>
      <x:c r="T89" s="29" t="str"/>
      <x:c r="U89" s="32" t="str"/>
      <x:c r="V89" s="23" t="str">
        <x:v>Current module source and workflow guide</x:v>
      </x:c>
      <x:c r="W89" s="23" t="str">
        <x:v>Not Run</x:v>
      </x:c>
      <x:c r="X89" s="23" t="str">
        <x:v>Not Run</x:v>
      </x:c>
      <x:c r="Y89" s="23" t="str">
        <x:v>Not Run</x:v>
      </x:c>
      <x:c r="Z89" s="23" t="str">
        <x:v>Not Run</x:v>
      </x:c>
      <x:c r="AA89" s="23" t="str">
        <x:v>Not Run</x:v>
      </x:c>
      <x:c r="AB89" s="23" t="str"/>
    </x:row>
    <x:row r="90">
      <x:c r="A90" s="23" t="str">
        <x:v>LEV-003</x:v>
      </x:c>
      <x:c r="B90" s="23" t="str">
        <x:v>W11 Leave and overtime</x:v>
      </x:c>
      <x:c r="C90" s="26" t="n">
        <x:v>85</x:v>
      </x:c>
      <x:c r="D90" s="23" t="str">
        <x:v>Leave Balances</x:v>
      </x:c>
      <x:c r="E90" s="23" t="str">
        <x:v>/hr/leave/balances</x:v>
      </x:c>
      <x:c r="F90" s="23" t="str">
        <x:v>HR Leave Admin, Auditor</x:v>
      </x:c>
      <x:c r="G90" s="23" t="str">
        <x:v>Generation uses a FormSheet; production execution needs a clearer dry-run, error set, and rerun and reconciliation process.</x:v>
      </x:c>
      <x:c r="H90" s="23" t="str">
        <x:v>Move balance generation to a dedicated page with year and scope summary, Dry Run to Review to Generate flow, configuration-error links, and an idempotent result receipt.</x:v>
      </x:c>
      <x:c r="I90" s="23" t="str">
        <x:v>UX/UI and workflow</x:v>
      </x:c>
      <x:c r="J90" s="23" t="str">
        <x:v>P1</x:v>
      </x:c>
      <x:c r="K90" s="23" t="str">
        <x:v>LEV-002</x:v>
      </x:c>
      <x:c r="L90" s="23" t="str">
        <x:v>Dry Run changes nothing; Generate creates missing balances once; rerun retains existing balances; result totals reconcile with Employee groups.</x:v>
      </x:c>
      <x:c r="M90" s="23" t="str">
        <x:v>Not Run: generation and idempotency tests, database totals, and HR browser UAT.</x:v>
      </x:c>
      <x:c r="N90" s="23" t="str">
        <x:v>Implemented / improvement needed</x:v>
      </x:c>
      <x:c r="O90" s="23" t="str">
        <x:v>Backlog</x:v>
      </x:c>
      <x:c r="P90" s="23" t="str">
        <x:v>Not Run</x:v>
      </x:c>
      <x:c r="Q90" s="23" t="str">
        <x:v>Not Run</x:v>
      </x:c>
      <x:c r="R90" s="23" t="str">
        <x:v>Not Run</x:v>
      </x:c>
      <x:c r="S90" s="23" t="str">
        <x:v>Backlog</x:v>
      </x:c>
      <x:c r="T90" s="29" t="str"/>
      <x:c r="U90" s="32" t="str"/>
      <x:c r="V90" s="23" t="str">
        <x:v>Current module source and workflow guide</x:v>
      </x:c>
      <x:c r="W90" s="23" t="str">
        <x:v>Not Run</x:v>
      </x:c>
      <x:c r="X90" s="23" t="str">
        <x:v>Not Run</x:v>
      </x:c>
      <x:c r="Y90" s="23" t="str">
        <x:v>Not Run</x:v>
      </x:c>
      <x:c r="Z90" s="23" t="str">
        <x:v>Not Run</x:v>
      </x:c>
      <x:c r="AA90" s="23" t="str">
        <x:v>Not Run</x:v>
      </x:c>
      <x:c r="AB90" s="23" t="str"/>
    </x:row>
    <x:row r="91">
      <x:c r="A91" s="23" t="str">
        <x:v>LEV-004</x:v>
      </x:c>
      <x:c r="B91" s="23" t="str">
        <x:v>W11 Leave and overtime</x:v>
      </x:c>
      <x:c r="C91" s="26" t="n">
        <x:v>86</x:v>
      </x:c>
      <x:c r="D91" s="23" t="str">
        <x:v>Employee Leave Request</x:v>
      </x:c>
      <x:c r="E91" s="23" t="str">
        <x:v>My Workspace Apply Leave</x:v>
      </x:c>
      <x:c r="F91" s="23" t="str">
        <x:v>Employee</x:v>
      </x:c>
      <x:c r="G91" s="23" t="str">
        <x:v>Apply Leave is a drawer and says the server calculates days only after submission; the user cannot preview working days, balance impact, or conflicts before committing.</x:v>
      </x:c>
      <x:c r="H91" s="23" t="str">
        <x:v>Add a dedicated request page with calendar and date selection, working-day and half-day preview, available, pending, and after-submit balance, and clear Save Draft versus Submit actions.</x:v>
      </x:c>
      <x:c r="I91" s="23" t="str">
        <x:v>UX/UI and workflow</x:v>
      </x:c>
      <x:c r="J91" s="23" t="str">
        <x:v>P1</x:v>
      </x:c>
      <x:c r="K91" s="23" t="str">
        <x:v>LEV-003; SCH-002</x:v>
      </x:c>
      <x:c r="L91" s="23" t="str">
        <x:v>Preview matches the final server calculation; invalid, overlap, or insufficient-balance cases are explained before Submit; Draft consumes no balance.</x:v>
      </x:c>
      <x:c r="M91" s="23" t="str">
        <x:v>Not Run: calculation tests, holiday, half-day, and night-shift cases, and Employee browser UAT.</x:v>
      </x:c>
      <x:c r="N91" s="23" t="str">
        <x:v>Implemented / improvement needed</x:v>
      </x:c>
      <x:c r="O91" s="23" t="str">
        <x:v>Backlog</x:v>
      </x:c>
      <x:c r="P91" s="23" t="str">
        <x:v>Not Run</x:v>
      </x:c>
      <x:c r="Q91" s="23" t="str">
        <x:v>Not Run</x:v>
      </x:c>
      <x:c r="R91" s="23" t="str">
        <x:v>Not Run</x:v>
      </x:c>
      <x:c r="S91" s="23" t="str">
        <x:v>Backlog</x:v>
      </x:c>
      <x:c r="T91" s="29" t="str"/>
      <x:c r="U91" s="32" t="str"/>
      <x:c r="V91" s="23" t="str">
        <x:v>Current module source and workflow guide</x:v>
      </x:c>
      <x:c r="W91" s="23" t="str">
        <x:v>Not Run</x:v>
      </x:c>
      <x:c r="X91" s="23" t="str">
        <x:v>Not Run</x:v>
      </x:c>
      <x:c r="Y91" s="23" t="str">
        <x:v>Not Run</x:v>
      </x:c>
      <x:c r="Z91" s="23" t="str">
        <x:v>Not Run</x:v>
      </x:c>
      <x:c r="AA91" s="23" t="str">
        <x:v>Not Run</x:v>
      </x:c>
      <x:c r="AB91" s="23" t="str"/>
    </x:row>
    <x:row r="92">
      <x:c r="A92" s="23" t="str">
        <x:v>LEV-005</x:v>
      </x:c>
      <x:c r="B92" s="23" t="str">
        <x:v>W11 Leave and overtime</x:v>
      </x:c>
      <x:c r="C92" s="26" t="n">
        <x:v>87</x:v>
      </x:c>
      <x:c r="D92" s="23" t="str">
        <x:v>Leave Approval and Calendar</x:v>
      </x:c>
      <x:c r="E92" s="23" t="str">
        <x:v>/hr/leave and /hr/leave/calendar</x:v>
      </x:c>
      <x:c r="F92" s="23" t="str">
        <x:v>Manager, HR Approver, Employee</x:v>
      </x:c>
      <x:c r="G92" s="23" t="str">
        <x:v>Queues are role-labelled but request detail remains sheet-based; production sign-off needs explicit stage ownership and Attendance and calendar reconciliation.</x:v>
      </x:c>
      <x:c r="H92" s="23" t="str">
        <x:v>Add a request-detail timeline; show the current named stage and Approver, balance impact, and decision history; retain short reason confirmation dialogs and link final approval to Calendar and Attendance.</x:v>
      </x:c>
      <x:c r="I92" s="23" t="str">
        <x:v>UX/UI and implementation</x:v>
      </x:c>
      <x:c r="J92" s="23" t="str">
        <x:v>P0</x:v>
      </x:c>
      <x:c r="K92" s="23" t="str">
        <x:v>LEV-004; ATT-004</x:v>
      </x:c>
      <x:c r="L92" s="23" t="str">
        <x:v>Manager and HR act only at their stage; final approval consumes reserved days once; rejection releases them; calendars and Attendance agree.</x:v>
      </x:c>
      <x:c r="M92" s="23" t="str">
        <x:v>Not Run: two-stage RBAC and concurrency tests and Employee, Manager, and HR browser plus database reconciliation.</x:v>
      </x:c>
      <x:c r="N92" s="23" t="str">
        <x:v>Implemented / improvement needed</x:v>
      </x:c>
      <x:c r="O92" s="23" t="str">
        <x:v>Backlog</x:v>
      </x:c>
      <x:c r="P92" s="23" t="str">
        <x:v>Not Run</x:v>
      </x:c>
      <x:c r="Q92" s="23" t="str">
        <x:v>Not Run</x:v>
      </x:c>
      <x:c r="R92" s="23" t="str">
        <x:v>Not Run</x:v>
      </x:c>
      <x:c r="S92" s="23" t="str">
        <x:v>Backlog</x:v>
      </x:c>
      <x:c r="T92" s="29" t="str"/>
      <x:c r="U92" s="32" t="str"/>
      <x:c r="V92" s="23" t="str">
        <x:v>Current module source and workflow guide</x:v>
      </x:c>
      <x:c r="W92" s="23" t="str">
        <x:v>Not Run</x:v>
      </x:c>
      <x:c r="X92" s="23" t="str">
        <x:v>Not Run</x:v>
      </x:c>
      <x:c r="Y92" s="23" t="str">
        <x:v>Not Run</x:v>
      </x:c>
      <x:c r="Z92" s="23" t="str">
        <x:v>Not Run</x:v>
      </x:c>
      <x:c r="AA92" s="23" t="str">
        <x:v>Not Run</x:v>
      </x:c>
      <x:c r="AB92" s="23" t="str"/>
    </x:row>
    <x:row r="93">
      <x:c r="A93" s="23" t="str">
        <x:v>OVT-001</x:v>
      </x:c>
      <x:c r="B93" s="23" t="str">
        <x:v>W11 Leave and overtime</x:v>
      </x:c>
      <x:c r="C93" s="26" t="n">
        <x:v>88</x:v>
      </x:c>
      <x:c r="D93" s="23" t="str">
        <x:v>Overtime</x:v>
      </x:c>
      <x:c r="E93" s="23" t="str">
        <x:v>/hr/overtime</x:v>
      </x:c>
      <x:c r="F93" s="23" t="str">
        <x:v>Manager, HR and Payroll Approver</x:v>
      </x:c>
      <x:c r="G93" s="23" t="str">
        <x:v>[Partial] The queue uses client search and a FormSheet for approve, reject, and cancel; pay versus Comp-off settlement impact is not a complete guided flow.</x:v>
      </x:c>
      <x:c r="H93" s="23" t="str">
        <x:v>Add a server-filtered queue and request detail; show eligible, requested, and approved minutes, policy source, and settlement result; use short reason dialogs for decisions.</x:v>
      </x:c>
      <x:c r="I93" s="23" t="str">
        <x:v>UX/UI and implementation</x:v>
      </x:c>
      <x:c r="J93" s="23" t="str">
        <x:v>P0</x:v>
      </x:c>
      <x:c r="K93" s="23" t="str">
        <x:v>ATT-005; LEV-005</x:v>
      </x:c>
      <x:c r="L93" s="23" t="str">
        <x:v>Ineligible minutes cannot be approved; one settlement is recorded; rejected or cancelled requests cannot create a pay input or Comp-off credit.</x:v>
      </x:c>
      <x:c r="M93" s="23" t="str">
        <x:v>Not Run: policy, calculation, and concurrency tests and Manager/HR browser plus Payroll or credit reconciliation.</x:v>
      </x:c>
      <x:c r="N93" s="23" t="str">
        <x:v>Partial</x:v>
      </x:c>
      <x:c r="O93" s="23" t="str">
        <x:v>Backlog</x:v>
      </x:c>
      <x:c r="P93" s="23" t="str">
        <x:v>Not Run</x:v>
      </x:c>
      <x:c r="Q93" s="23" t="str">
        <x:v>Not Run</x:v>
      </x:c>
      <x:c r="R93" s="23" t="str">
        <x:v>Not Run</x:v>
      </x:c>
      <x:c r="S93" s="23" t="str">
        <x:v>Backlog</x:v>
      </x:c>
      <x:c r="T93" s="29" t="str"/>
      <x:c r="U93" s="32" t="str"/>
      <x:c r="V93" s="23" t="str">
        <x:v>Current module source and workflow guide</x:v>
      </x:c>
      <x:c r="W93" s="23" t="str">
        <x:v>Not Run</x:v>
      </x:c>
      <x:c r="X93" s="23" t="str">
        <x:v>Not Run</x:v>
      </x:c>
      <x:c r="Y93" s="23" t="str">
        <x:v>Not Run</x:v>
      </x:c>
      <x:c r="Z93" s="23" t="str">
        <x:v>Not Run</x:v>
      </x:c>
      <x:c r="AA93" s="23" t="str">
        <x:v>Not Run</x:v>
      </x:c>
      <x:c r="AB93" s="23" t="str"/>
    </x:row>
    <x:row r="94">
      <x:c r="A94" s="23" t="str">
        <x:v>AST-001</x:v>
      </x:c>
      <x:c r="B94" s="23" t="str">
        <x:v>W12 Assets</x:v>
      </x:c>
      <x:c r="C94" s="26" t="n">
        <x:v>89</x:v>
      </x:c>
      <x:c r="D94" s="23" t="str">
        <x:v>Asset Feature Gate</x:v>
      </x:c>
      <x:c r="E94" s="23" t="str">
        <x:v>All /asset-management routes</x:v>
      </x:c>
      <x:c r="F94" s="23" t="str">
        <x:v>Platform Admin, Asset Owner</x:v>
      </x:c>
      <x:c r="G94" s="23" t="str">
        <x:v>[Release-gated] [Provider-dependent] Empty Asset and File Storage allowlists now mean all Companies; all-tenant enablement magnifies tenant-scope and provider-readiness risk.</x:v>
      </x:c>
      <x:c r="H94" s="23" t="str">
        <x:v>Validate enabled-all versus explicit allowlist startup and capability behavior; keep provider-backed upload and download paths blocked until S3 and ClamAV evidence passes.</x:v>
      </x:c>
      <x:c r="I94" s="23" t="str">
        <x:v>UX/UI and workflow</x:v>
      </x:c>
      <x:c r="J94" s="23" t="str">
        <x:v>P0</x:v>
      </x:c>
      <x:c r="K94" s="23" t="str">
        <x:v>REL-001, ENV-001; ENV-002</x:v>
      </x:c>
      <x:c r="L94" s="23" t="str">
        <x:v>An enabled empty allowlist grants only authorized Company and Branch contexts; direct-ID cross-tenant calls fail; a disabled module has no menu or API access.</x:v>
      </x:c>
      <x:c r="M94" s="23" t="str">
        <x:v>Not Run: gate and environment tests, two-tenant API and browser UAT, and real provider evidence.</x:v>
      </x:c>
      <x:c r="N94" s="23" t="str">
        <x:v>Partial / provider-dependent</x:v>
      </x:c>
      <x:c r="O94" s="23" t="str">
        <x:v>Backlog</x:v>
      </x:c>
      <x:c r="P94" s="23" t="str">
        <x:v>Not Run</x:v>
      </x:c>
      <x:c r="Q94" s="23" t="str">
        <x:v>Not Run</x:v>
      </x:c>
      <x:c r="R94" s="23" t="str">
        <x:v>Not Run</x:v>
      </x:c>
      <x:c r="S94" s="23" t="str">
        <x:v>Backlog</x:v>
      </x:c>
      <x:c r="T94" s="29" t="str"/>
      <x:c r="U94" s="32" t="str"/>
      <x:c r="V94" s="23" t="str">
        <x:v>Current module source and workflow guide</x:v>
      </x:c>
      <x:c r="W94" s="23" t="str">
        <x:v>Not Run</x:v>
      </x:c>
      <x:c r="X94" s="23" t="str">
        <x:v>Not Run</x:v>
      </x:c>
      <x:c r="Y94" s="23" t="str">
        <x:v>Not Run</x:v>
      </x:c>
      <x:c r="Z94" s="23" t="str">
        <x:v>Not Run</x:v>
      </x:c>
      <x:c r="AA94" s="23" t="str">
        <x:v>Not Run</x:v>
      </x:c>
      <x:c r="AB94" s="23" t="str"/>
    </x:row>
    <x:row r="95">
      <x:c r="A95" s="23" t="str">
        <x:v>AST-002</x:v>
      </x:c>
      <x:c r="B95" s="23" t="str">
        <x:v>W12 Assets</x:v>
      </x:c>
      <x:c r="C95" s="26" t="n">
        <x:v>90</x:v>
      </x:c>
      <x:c r="D95" s="23" t="str">
        <x:v>Asset Setup</x:v>
      </x:c>
      <x:c r="E95" s="23" t="str">
        <x:v>Asset Categories, Asset Types, and Assets</x:v>
      </x:c>
      <x:c r="F95" s="23" t="str">
        <x:v>Asset Admin</x:v>
      </x:c>
      <x:c r="G95" s="23" t="str">
        <x:v>Category, Type, and Asset creation use dialogs; physical item versus licence-pool setup and prerequisites are spread across forms.</x:v>
      </x:c>
      <x:c r="H95" s="23" t="str">
        <x:v>Convert major setup, create, and edit workflows to dedicated pages; add Category to Type to Physical Asset or Licence Pool guidance and field sections.</x:v>
      </x:c>
      <x:c r="I95" s="23" t="str">
        <x:v>UX/UI and workflow</x:v>
      </x:c>
      <x:c r="J95" s="23" t="str">
        <x:v>P1</x:v>
      </x:c>
      <x:c r="K95" s="23" t="str">
        <x:v>AST-001; UX-01–UX-06; ADM-01–ADM-04</x:v>
      </x:c>
      <x:c r="L95" s="23" t="str">
        <x:v>No major Asset form opens in a drawer; incompatible kind and tracking combinations cannot save; users understand physical versus pool records.</x:v>
      </x:c>
      <x:c r="M95" s="23" t="str">
        <x:v>Not Run: schema and API tests and Asset Admin browser, mobile, and keyboard UAT.</x:v>
      </x:c>
      <x:c r="N95" s="23" t="str">
        <x:v>Implemented / improvement needed</x:v>
      </x:c>
      <x:c r="O95" s="23" t="str">
        <x:v>Backlog</x:v>
      </x:c>
      <x:c r="P95" s="23" t="str">
        <x:v>Not Run</x:v>
      </x:c>
      <x:c r="Q95" s="23" t="str">
        <x:v>Not Run</x:v>
      </x:c>
      <x:c r="R95" s="23" t="str">
        <x:v>Not Run</x:v>
      </x:c>
      <x:c r="S95" s="23" t="str">
        <x:v>Backlog</x:v>
      </x:c>
      <x:c r="T95" s="29" t="str"/>
      <x:c r="U95" s="32" t="str"/>
      <x:c r="V95" s="23" t="str">
        <x:v>Current module source and workflow guide</x:v>
      </x:c>
      <x:c r="W95" s="23" t="str">
        <x:v>Not Run</x:v>
      </x:c>
      <x:c r="X95" s="23" t="str">
        <x:v>Not Run</x:v>
      </x:c>
      <x:c r="Y95" s="23" t="str">
        <x:v>Not Run</x:v>
      </x:c>
      <x:c r="Z95" s="23" t="str">
        <x:v>Not Run</x:v>
      </x:c>
      <x:c r="AA95" s="23" t="str">
        <x:v>Not Run</x:v>
      </x:c>
      <x:c r="AB95" s="23" t="str"/>
    </x:row>
    <x:row r="96">
      <x:c r="A96" s="23" t="str">
        <x:v>AST-003</x:v>
      </x:c>
      <x:c r="B96" s="23" t="str">
        <x:v>W12 Assets</x:v>
      </x:c>
      <x:c r="C96" s="26" t="n">
        <x:v>91</x:v>
      </x:c>
      <x:c r="D96" s="23" t="str">
        <x:v>Asset Inventory and History</x:v>
      </x:c>
      <x:c r="E96" s="23" t="str">
        <x:v>/asset-management/assets</x:v>
      </x:c>
      <x:c r="F96" s="23" t="str">
        <x:v>Asset Admin, Custodian, Viewer</x:v>
      </x:c>
      <x:c r="G96" s="23" t="str">
        <x:v>[Partial] List and detail actions are dense; history is shown as a truncated JSON string in a confirmation dialog, and production paging is not demonstrated.</x:v>
      </x:c>
      <x:c r="H96" s="23" t="str">
        <x:v>Add a server-paged inventory and dedicated Asset detail with lifecycle and custody timeline, version, allowed next actions, warranty and expiry, and conflict recovery.</x:v>
      </x:c>
      <x:c r="I96" s="23" t="str">
        <x:v>UX/UI and workflow</x:v>
      </x:c>
      <x:c r="J96" s="23" t="str">
        <x:v>P1</x:v>
      </x:c>
      <x:c r="K96" s="23" t="str">
        <x:v>AST-002</x:v>
      </x:c>
      <x:c r="L96" s="23" t="str">
        <x:v>Full history is readable without raw JSON; filters and totals are correct; stale actions prompt Reload; Viewers see no mutation controls.</x:v>
      </x:c>
      <x:c r="M96" s="23" t="str">
        <x:v>Not Run: paging and action tests, concurrent update, and multi-role browser UAT.</x:v>
      </x:c>
      <x:c r="N96" s="23" t="str">
        <x:v>Partial</x:v>
      </x:c>
      <x:c r="O96" s="23" t="str">
        <x:v>Backlog</x:v>
      </x:c>
      <x:c r="P96" s="23" t="str">
        <x:v>Not Run</x:v>
      </x:c>
      <x:c r="Q96" s="23" t="str">
        <x:v>Not Run</x:v>
      </x:c>
      <x:c r="R96" s="23" t="str">
        <x:v>Not Run</x:v>
      </x:c>
      <x:c r="S96" s="23" t="str">
        <x:v>Backlog</x:v>
      </x:c>
      <x:c r="T96" s="29" t="str"/>
      <x:c r="U96" s="32" t="str"/>
      <x:c r="V96" s="23" t="str">
        <x:v>Current module source and workflow guide</x:v>
      </x:c>
      <x:c r="W96" s="23" t="str">
        <x:v>Not Run</x:v>
      </x:c>
      <x:c r="X96" s="23" t="str">
        <x:v>Not Run</x:v>
      </x:c>
      <x:c r="Y96" s="23" t="str">
        <x:v>Not Run</x:v>
      </x:c>
      <x:c r="Z96" s="23" t="str">
        <x:v>Not Run</x:v>
      </x:c>
      <x:c r="AA96" s="23" t="str">
        <x:v>Not Run</x:v>
      </x:c>
      <x:c r="AB96" s="23" t="str"/>
    </x:row>
    <x:row r="97">
      <x:c r="A97" s="23" t="str">
        <x:v>AST-004</x:v>
      </x:c>
      <x:c r="B97" s="23" t="str">
        <x:v>W12 Assets</x:v>
      </x:c>
      <x:c r="C97" s="26" t="n">
        <x:v>92</x:v>
      </x:c>
      <x:c r="D97" s="23" t="str">
        <x:v>Asset Department Grants</x:v>
      </x:c>
      <x:c r="E97" s="23" t="str">
        <x:v>/asset-management/department-grants</x:v>
      </x:c>
      <x:c r="F97" s="23" t="str">
        <x:v>Asset Admin, Department Custodian</x:v>
      </x:c>
      <x:c r="G97" s="23" t="str">
        <x:v>The Grant form requests a raw User ID, creating a high-confusion and scope-risk workflow.</x:v>
      </x:c>
      <x:c r="H97" s="23" t="str">
        <x:v>Replace the raw ID with a Company, Branch, and Department-scoped eligible User or Employee picker, show resulting responsibility, and require a reason and audit for Revoke, Reactivate, and Regrant.</x:v>
      </x:c>
      <x:c r="I97" s="23" t="str">
        <x:v>UX/UI and workflow</x:v>
      </x:c>
      <x:c r="J97" s="23" t="str">
        <x:v>P0</x:v>
      </x:c>
      <x:c r="K97" s="23" t="str">
        <x:v>AST-002; ADM-01–ADM-04</x:v>
      </x:c>
      <x:c r="L97" s="23" t="str">
        <x:v>Only eligible scoped Custodians can be selected; cross-Company direct IDs fail; Grant history identifies actor, reason, and version.</x:v>
      </x:c>
      <x:c r="M97" s="23" t="str">
        <x:v>Not Run: eligibility and scope API tests and Asset Admin/Custodian browser UAT.</x:v>
      </x:c>
      <x:c r="N97" s="23" t="str">
        <x:v>Implemented / improvement needed</x:v>
      </x:c>
      <x:c r="O97" s="23" t="str">
        <x:v>Backlog</x:v>
      </x:c>
      <x:c r="P97" s="23" t="str">
        <x:v>Not Run</x:v>
      </x:c>
      <x:c r="Q97" s="23" t="str">
        <x:v>Not Run</x:v>
      </x:c>
      <x:c r="R97" s="23" t="str">
        <x:v>Not Run</x:v>
      </x:c>
      <x:c r="S97" s="23" t="str">
        <x:v>Backlog</x:v>
      </x:c>
      <x:c r="T97" s="29" t="str"/>
      <x:c r="U97" s="32" t="str"/>
      <x:c r="V97" s="23" t="str">
        <x:v>Current module source and workflow guide</x:v>
      </x:c>
      <x:c r="W97" s="23" t="str">
        <x:v>Not Run</x:v>
      </x:c>
      <x:c r="X97" s="23" t="str">
        <x:v>Not Run</x:v>
      </x:c>
      <x:c r="Y97" s="23" t="str">
        <x:v>Not Run</x:v>
      </x:c>
      <x:c r="Z97" s="23" t="str">
        <x:v>Not Run</x:v>
      </x:c>
      <x:c r="AA97" s="23" t="str">
        <x:v>Not Run</x:v>
      </x:c>
      <x:c r="AB97" s="23" t="str"/>
    </x:row>
    <x:row r="98">
      <x:c r="A98" s="23" t="str">
        <x:v>AST-005</x:v>
      </x:c>
      <x:c r="B98" s="23" t="str">
        <x:v>W12 Assets</x:v>
      </x:c>
      <x:c r="C98" s="26" t="n">
        <x:v>93</x:v>
      </x:c>
      <x:c r="D98" s="23" t="str">
        <x:v>Asset Assignment and Custody</x:v>
      </x:c>
      <x:c r="E98" s="23" t="str">
        <x:v>Employee Assets and Custodian Inbox</x:v>
      </x:c>
      <x:c r="F98" s="23" t="str">
        <x:v>Asset Admin, Custodian, Employee</x:v>
      </x:c>
      <x:c r="G98" s="23" t="str">
        <x:v>Assignment is drawer-based; custody completion and rejection hooks use fixed notes, and Employee acknowledgement and ownership require a clearer audit trail.</x:v>
      </x:c>
      <x:c r="H98" s="23" t="str">
        <x:v>Use a full-page assignment and detail flow; show eligibility and availability; collect real completion and rejection notes and expose Employee acknowledgement and custody history.</x:v>
      </x:c>
      <x:c r="I98" s="23" t="str">
        <x:v>UX/UI and workflow</x:v>
      </x:c>
      <x:c r="J98" s="23" t="str">
        <x:v>P0</x:v>
      </x:c>
      <x:c r="K98" s="23" t="str">
        <x:v>AST-003; AST-004; EMP-003</x:v>
      </x:c>
      <x:c r="L98" s="23" t="str">
        <x:v>One physical item has one open custody; only an authorized Custodian decides; reasons are user-entered; Employee and Asset views reconcile.</x:v>
      </x:c>
      <x:c r="M98" s="23" t="str">
        <x:v>Not Run: uniqueness, concurrency, and RBAC tests and Admin, Custodian, and Employee browser plus database reconciliation.</x:v>
      </x:c>
      <x:c r="N98" s="23" t="str">
        <x:v>Implemented / improvement needed</x:v>
      </x:c>
      <x:c r="O98" s="23" t="str">
        <x:v>Backlog</x:v>
      </x:c>
      <x:c r="P98" s="23" t="str">
        <x:v>Not Run</x:v>
      </x:c>
      <x:c r="Q98" s="23" t="str">
        <x:v>Not Run</x:v>
      </x:c>
      <x:c r="R98" s="23" t="str">
        <x:v>Not Run</x:v>
      </x:c>
      <x:c r="S98" s="23" t="str">
        <x:v>Backlog</x:v>
      </x:c>
      <x:c r="T98" s="29" t="str"/>
      <x:c r="U98" s="32" t="str"/>
      <x:c r="V98" s="23" t="str">
        <x:v>Current module source and workflow guide</x:v>
      </x:c>
      <x:c r="W98" s="23" t="str">
        <x:v>Not Run</x:v>
      </x:c>
      <x:c r="X98" s="23" t="str">
        <x:v>Not Run</x:v>
      </x:c>
      <x:c r="Y98" s="23" t="str">
        <x:v>Not Run</x:v>
      </x:c>
      <x:c r="Z98" s="23" t="str">
        <x:v>Not Run</x:v>
      </x:c>
      <x:c r="AA98" s="23" t="str">
        <x:v>Not Run</x:v>
      </x:c>
      <x:c r="AB98" s="23" t="str"/>
    </x:row>
    <x:row r="99">
      <x:c r="A99" s="23" t="str">
        <x:v>AST-006</x:v>
      </x:c>
      <x:c r="B99" s="23" t="str">
        <x:v>W12 Assets</x:v>
      </x:c>
      <x:c r="C99" s="26" t="n">
        <x:v>94</x:v>
      </x:c>
      <x:c r="D99" s="23" t="str">
        <x:v>Asset Licences</x:v>
      </x:c>
      <x:c r="E99" s="23" t="str">
        <x:v>/asset-management/licenses</x:v>
      </x:c>
      <x:c r="F99" s="23" t="str">
        <x:v>Licence Admin, Custodian</x:v>
      </x:c>
      <x:c r="G99" s="23" t="str">
        <x:v>Capacity Resize and Revoke currently send hard-coded reasons; pool and seat availability and allocation history need a guided audited flow.</x:v>
      </x:c>
      <x:c r="H99" s="23" t="str">
        <x:v>Add a Licence Pool detail page with total, used, and available seats, scoped Employee allocation, capacity-change preview, and required business reasons for Resize and Revoke.</x:v>
      </x:c>
      <x:c r="I99" s="23" t="str">
        <x:v>UX/UI and workflow</x:v>
      </x:c>
      <x:c r="J99" s="23" t="str">
        <x:v>P0</x:v>
      </x:c>
      <x:c r="K99" s="23" t="str">
        <x:v>AST-003; AST-004</x:v>
      </x:c>
      <x:c r="L99" s="23" t="str">
        <x:v>Active allocations never exceed capacity; concurrent allocation has one winner; Resize below usage is blocked; every change has a reason and history.</x:v>
      </x:c>
      <x:c r="M99" s="23" t="str">
        <x:v>Not Run: capacity and concurrency tests and Licence Admin browser plus database reconciliation.</x:v>
      </x:c>
      <x:c r="N99" s="23" t="str">
        <x:v>Implemented / improvement needed</x:v>
      </x:c>
      <x:c r="O99" s="23" t="str">
        <x:v>Backlog</x:v>
      </x:c>
      <x:c r="P99" s="23" t="str">
        <x:v>Not Run</x:v>
      </x:c>
      <x:c r="Q99" s="23" t="str">
        <x:v>Not Run</x:v>
      </x:c>
      <x:c r="R99" s="23" t="str">
        <x:v>Not Run</x:v>
      </x:c>
      <x:c r="S99" s="23" t="str">
        <x:v>Backlog</x:v>
      </x:c>
      <x:c r="T99" s="29" t="str"/>
      <x:c r="U99" s="32" t="str"/>
      <x:c r="V99" s="23" t="str">
        <x:v>Current module source and workflow guide</x:v>
      </x:c>
      <x:c r="W99" s="23" t="str">
        <x:v>Not Run</x:v>
      </x:c>
      <x:c r="X99" s="23" t="str">
        <x:v>Not Run</x:v>
      </x:c>
      <x:c r="Y99" s="23" t="str">
        <x:v>Not Run</x:v>
      </x:c>
      <x:c r="Z99" s="23" t="str">
        <x:v>Not Run</x:v>
      </x:c>
      <x:c r="AA99" s="23" t="str">
        <x:v>Not Run</x:v>
      </x:c>
      <x:c r="AB99" s="23" t="str"/>
    </x:row>
    <x:row r="100">
      <x:c r="A100" s="23" t="str">
        <x:v>AST-007</x:v>
      </x:c>
      <x:c r="B100" s="23" t="str">
        <x:v>W12 Assets</x:v>
      </x:c>
      <x:c r="C100" s="26" t="n">
        <x:v>95</x:v>
      </x:c>
      <x:c r="D100" s="23" t="str">
        <x:v>Asset Transfers, Clearance, and Waivers</x:v>
      </x:c>
      <x:c r="E100" s="23" t="str">
        <x:v>Transfers, Waivers, and Employee and Separation detail</x:v>
      </x:c>
      <x:c r="F100" s="23" t="str">
        <x:v>Department Custodian, Asset Approver, HR Separation Owner</x:v>
      </x:c>
      <x:c r="G100" s="23" t="str">
        <x:v>Transfer and waiver actions use fixed workspace reasons; clearance spans Assets and Separation without one complete remediation path.</x:v>
      </x:c>
      <x:c r="H100" s="23" t="str">
        <x:v>Add Transfer and Waiver detail timelines, required real reasons, Accept, Reject, Cancel, and Force consequences, and direct links between outstanding custody, Return or Revoke, and approved Waiver.</x:v>
      </x:c>
      <x:c r="I100" s="23" t="str">
        <x:v>UX/UI and workflow</x:v>
      </x:c>
      <x:c r="J100" s="23" t="str">
        <x:v>P0</x:v>
      </x:c>
      <x:c r="K100" s="23" t="str">
        <x:v>AST-005; AST-006</x:v>
      </x:c>
      <x:c r="L100" s="23" t="str">
        <x:v>No Clearance completes with unresolved mandatory custody unless an authorized Waiver is approved; actions are scoped, versioned, and auditable.</x:v>
      </x:c>
      <x:c r="M100" s="23" t="str">
        <x:v>Not Run: transition, concurrency, and direct-ID tests and Custodian, Approver, and HR browser UAT.</x:v>
      </x:c>
      <x:c r="N100" s="23" t="str">
        <x:v>Implemented / improvement needed</x:v>
      </x:c>
      <x:c r="O100" s="23" t="str">
        <x:v>Backlog</x:v>
      </x:c>
      <x:c r="P100" s="23" t="str">
        <x:v>Not Run</x:v>
      </x:c>
      <x:c r="Q100" s="23" t="str">
        <x:v>Not Run</x:v>
      </x:c>
      <x:c r="R100" s="23" t="str">
        <x:v>Not Run</x:v>
      </x:c>
      <x:c r="S100" s="23" t="str">
        <x:v>Backlog</x:v>
      </x:c>
      <x:c r="T100" s="29" t="str"/>
      <x:c r="U100" s="32" t="str"/>
      <x:c r="V100" s="23" t="str">
        <x:v>Current module source and workflow guide</x:v>
      </x:c>
      <x:c r="W100" s="23" t="str">
        <x:v>Not Run</x:v>
      </x:c>
      <x:c r="X100" s="23" t="str">
        <x:v>Not Run</x:v>
      </x:c>
      <x:c r="Y100" s="23" t="str">
        <x:v>Not Run</x:v>
      </x:c>
      <x:c r="Z100" s="23" t="str">
        <x:v>Not Run</x:v>
      </x:c>
      <x:c r="AA100" s="23" t="str">
        <x:v>Not Run</x:v>
      </x:c>
      <x:c r="AB100" s="23" t="str"/>
    </x:row>
    <x:row r="101">
      <x:c r="A101" s="23" t="str">
        <x:v>HRQ-001</x:v>
      </x:c>
      <x:c r="B101" s="23" t="str">
        <x:v>W13 HR operations</x:v>
      </x:c>
      <x:c r="C101" s="26" t="n">
        <x:v>96</x:v>
      </x:c>
      <x:c r="D101" s="23" t="str">
        <x:v>HR Request Types</x:v>
      </x:c>
      <x:c r="E101" s="23" t="str">
        <x:v>/hr/hr-requests configuration</x:v>
      </x:c>
      <x:c r="F101" s="23" t="str">
        <x:v>HR Operations Admin</x:v>
      </x:c>
      <x:c r="G101" s="23" t="str">
        <x:v>Request Type administration is mixed into the operational request screen and uses dialogs, confusing setup versus daily work.</x:v>
      </x:c>
      <x:c r="H101" s="23" t="str">
        <x:v>Move Request Types and Workflow selection to a dedicated administration page with active and archive state, approval preview, and full-page create and edit.</x:v>
      </x:c>
      <x:c r="I101" s="23" t="str">
        <x:v>UX/UI and workflow</x:v>
      </x:c>
      <x:c r="J101" s="23" t="str">
        <x:v>P1</x:v>
      </x:c>
      <x:c r="K101" s="23" t="str">
        <x:v>UX-01–UX-06; ADM-01–ADM-04</x:v>
      </x:c>
      <x:c r="L101" s="23" t="str">
        <x:v>Operational users do not see setup controls; Admin can preview the Workflow before activation; an archived Type cannot receive new requests.</x:v>
      </x:c>
      <x:c r="M101" s="23" t="str">
        <x:v>Not Run: route and RBAC tests and HR Admin versus Employee browser UAT.</x:v>
      </x:c>
      <x:c r="N101" s="23" t="str">
        <x:v>Implemented / improvement needed</x:v>
      </x:c>
      <x:c r="O101" s="23" t="str">
        <x:v>Backlog</x:v>
      </x:c>
      <x:c r="P101" s="23" t="str">
        <x:v>Not Run</x:v>
      </x:c>
      <x:c r="Q101" s="23" t="str">
        <x:v>Not Run</x:v>
      </x:c>
      <x:c r="R101" s="23" t="str">
        <x:v>Not Run</x:v>
      </x:c>
      <x:c r="S101" s="23" t="str">
        <x:v>Backlog</x:v>
      </x:c>
      <x:c r="T101" s="29" t="str"/>
      <x:c r="U101" s="32" t="str"/>
      <x:c r="V101" s="23" t="str">
        <x:v>Current module source and workflow guide</x:v>
      </x:c>
      <x:c r="W101" s="23" t="str">
        <x:v>Not Run</x:v>
      </x:c>
      <x:c r="X101" s="23" t="str">
        <x:v>Not Run</x:v>
      </x:c>
      <x:c r="Y101" s="23" t="str">
        <x:v>Not Run</x:v>
      </x:c>
      <x:c r="Z101" s="23" t="str">
        <x:v>Not Run</x:v>
      </x:c>
      <x:c r="AA101" s="23" t="str">
        <x:v>Not Run</x:v>
      </x:c>
      <x:c r="AB101" s="23" t="str"/>
    </x:row>
    <x:row r="102">
      <x:c r="A102" s="23" t="str">
        <x:v>HRQ-002</x:v>
      </x:c>
      <x:c r="B102" s="23" t="str">
        <x:v>W13 HR operations</x:v>
      </x:c>
      <x:c r="C102" s="26" t="n">
        <x:v>97</x:v>
      </x:c>
      <x:c r="D102" s="23" t="str">
        <x:v>Employee HR Request</x:v>
      </x:c>
      <x:c r="E102" s="23" t="str">
        <x:v>/my-workspace/hr-requests</x:v>
      </x:c>
      <x:c r="F102" s="23" t="str">
        <x:v>Employee</x:v>
      </x:c>
      <x:c r="G102" s="23" t="str">
        <x:v>[Provider-dependent] New Request uses a dialog and optional secure attachment; Type-specific requirements, scan status, and Submit confirmation are minimal.</x:v>
      </x:c>
      <x:c r="H102" s="23" t="str">
        <x:v>Create a dedicated Request page with Type description, expected processing path, dynamic required fields, attachment scan lifecycle, and review before Submit.</x:v>
      </x:c>
      <x:c r="I102" s="23" t="str">
        <x:v>UX/UI and workflow</x:v>
      </x:c>
      <x:c r="J102" s="23" t="str">
        <x:v>P1</x:v>
      </x:c>
      <x:c r="K102" s="23" t="str">
        <x:v>HRQ-001; ENV-002</x:v>
      </x:c>
      <x:c r="L102" s="23" t="str">
        <x:v>Only active allowed Types appear; required data and file are enforced; an infected or unscanned attachment cannot be submitted; the success receipt is stable.</x:v>
      </x:c>
      <x:c r="M102" s="23" t="str">
        <x:v>Not Run: form and API tests, real storage and scanner evidence, and Employee browser UAT.</x:v>
      </x:c>
      <x:c r="N102" s="23" t="str">
        <x:v>Partial / provider-dependent</x:v>
      </x:c>
      <x:c r="O102" s="23" t="str">
        <x:v>Backlog</x:v>
      </x:c>
      <x:c r="P102" s="23" t="str">
        <x:v>Not Run</x:v>
      </x:c>
      <x:c r="Q102" s="23" t="str">
        <x:v>Not Run</x:v>
      </x:c>
      <x:c r="R102" s="23" t="str">
        <x:v>Not Run</x:v>
      </x:c>
      <x:c r="S102" s="23" t="str">
        <x:v>Backlog</x:v>
      </x:c>
      <x:c r="T102" s="29" t="str"/>
      <x:c r="U102" s="32" t="str"/>
      <x:c r="V102" s="23" t="str">
        <x:v>Current module source and workflow guide</x:v>
      </x:c>
      <x:c r="W102" s="23" t="str">
        <x:v>Not Run</x:v>
      </x:c>
      <x:c r="X102" s="23" t="str">
        <x:v>Not Run</x:v>
      </x:c>
      <x:c r="Y102" s="23" t="str">
        <x:v>Not Run</x:v>
      </x:c>
      <x:c r="Z102" s="23" t="str">
        <x:v>Not Run</x:v>
      </x:c>
      <x:c r="AA102" s="23" t="str">
        <x:v>Not Run</x:v>
      </x:c>
      <x:c r="AB102" s="23" t="str"/>
    </x:row>
    <x:row r="103">
      <x:c r="A103" s="23" t="str">
        <x:v>HRQ-003</x:v>
      </x:c>
      <x:c r="B103" s="23" t="str">
        <x:v>W13 HR operations</x:v>
      </x:c>
      <x:c r="C103" s="26" t="n">
        <x:v>98</x:v>
      </x:c>
      <x:c r="D103" s="23" t="str">
        <x:v>HR Request Tracking</x:v>
      </x:c>
      <x:c r="E103" s="23" t="str">
        <x:v>My Requests and /hr/hr-requests</x:v>
      </x:c>
      <x:c r="F103" s="23" t="str">
        <x:v>Employee, HR Processor</x:v>
      </x:c>
      <x:c r="G103" s="23" t="str">
        <x:v>[Partial] The list is fixed to page 1 and limit 50 with no pagination UI and has no dedicated Request detail or timeline; current step may display only Step N.</x:v>
      </x:c>
      <x:c r="H103" s="23" t="str">
        <x:v>Add server pagination and full Request detail with named Workflow stage, current owner, remarks, attachment, decision timeline, and allowed next action.</x:v>
      </x:c>
      <x:c r="I103" s="23" t="str">
        <x:v>Backend hardening</x:v>
      </x:c>
      <x:c r="J103" s="23" t="str">
        <x:v>P1</x:v>
      </x:c>
      <x:c r="K103" s="23" t="str">
        <x:v>HRQ-002</x:v>
      </x:c>
      <x:c r="L103" s="23" t="str">
        <x:v>Row 51 and later is reachable; Employee and HR see permitted details; a named stage replaces the raw step number; refresh preserves filters.</x:v>
      </x:c>
      <x:c r="M103" s="23" t="str">
        <x:v>Not Run: pagination and data-scope tests and Employee/HR browser UAT.</x:v>
      </x:c>
      <x:c r="N103" s="23" t="str">
        <x:v>Partial</x:v>
      </x:c>
      <x:c r="O103" s="23" t="str">
        <x:v>Backlog</x:v>
      </x:c>
      <x:c r="P103" s="23" t="str">
        <x:v>Not Run</x:v>
      </x:c>
      <x:c r="Q103" s="23" t="str">
        <x:v>Not Run</x:v>
      </x:c>
      <x:c r="R103" s="23" t="str">
        <x:v>Not Run</x:v>
      </x:c>
      <x:c r="S103" s="23" t="str">
        <x:v>Backlog</x:v>
      </x:c>
      <x:c r="T103" s="29" t="str"/>
      <x:c r="U103" s="32" t="str"/>
      <x:c r="V103" s="23" t="str">
        <x:v>Current module source and workflow guide</x:v>
      </x:c>
      <x:c r="W103" s="23" t="str">
        <x:v>Not Run</x:v>
      </x:c>
      <x:c r="X103" s="23" t="str">
        <x:v>Not Run</x:v>
      </x:c>
      <x:c r="Y103" s="23" t="str">
        <x:v>Not Run</x:v>
      </x:c>
      <x:c r="Z103" s="23" t="str">
        <x:v>Not Run</x:v>
      </x:c>
      <x:c r="AA103" s="23" t="str">
        <x:v>Not Run</x:v>
      </x:c>
      <x:c r="AB103" s="23" t="str"/>
    </x:row>
    <x:row r="104">
      <x:c r="A104" s="23" t="str">
        <x:v>HRQ-004</x:v>
      </x:c>
      <x:c r="B104" s="23" t="str">
        <x:v>W13 HR operations</x:v>
      </x:c>
      <x:c r="C104" s="26" t="n">
        <x:v>99</x:v>
      </x:c>
      <x:c r="D104" s="23" t="str">
        <x:v>HR Request Approval and Fulfilment</x:v>
      </x:c>
      <x:c r="E104" s="23" t="str">
        <x:v>My Workspace approvals and Request detail</x:v>
      </x:c>
      <x:c r="F104" s="23" t="str">
        <x:v>Approver, HR Processor</x:v>
      </x:c>
      <x:c r="G104" s="23" t="str">
        <x:v>Approval and completion are short dialogs, but the distinction between approval, fulfilment, and terminal completion is not sufficiently visible.</x:v>
      </x:c>
      <x:c r="H104" s="23" t="str">
        <x:v>Add role-based queues and next-action explanation; retain dialogs for decisions with required reasons; show who or what is awaited and final fulfilment evidence.</x:v>
      </x:c>
      <x:c r="I104" s="23" t="str">
        <x:v>UX/UI and implementation</x:v>
      </x:c>
      <x:c r="J104" s="23" t="str">
        <x:v>P0</x:v>
      </x:c>
      <x:c r="K104" s="23" t="str">
        <x:v>HRQ-003</x:v>
      </x:c>
      <x:c r="L104" s="23" t="str">
        <x:v>Only the assigned Approver acts; Reject and Cancel require a reason; Complete is available only after approval and records fulfilment evidence.</x:v>
      </x:c>
      <x:c r="M104" s="23" t="str">
        <x:v>Not Run: Workflow, RBAC, and concurrency tests and Approver/HR browser UAT.</x:v>
      </x:c>
      <x:c r="N104" s="23" t="str">
        <x:v>Implemented / improvement needed</x:v>
      </x:c>
      <x:c r="O104" s="23" t="str">
        <x:v>Backlog</x:v>
      </x:c>
      <x:c r="P104" s="23" t="str">
        <x:v>Not Run</x:v>
      </x:c>
      <x:c r="Q104" s="23" t="str">
        <x:v>Not Run</x:v>
      </x:c>
      <x:c r="R104" s="23" t="str">
        <x:v>Not Run</x:v>
      </x:c>
      <x:c r="S104" s="23" t="str">
        <x:v>Backlog</x:v>
      </x:c>
      <x:c r="T104" s="29" t="str"/>
      <x:c r="U104" s="32" t="str"/>
      <x:c r="V104" s="23" t="str">
        <x:v>Current module source and workflow guide</x:v>
      </x:c>
      <x:c r="W104" s="23" t="str">
        <x:v>Not Run</x:v>
      </x:c>
      <x:c r="X104" s="23" t="str">
        <x:v>Not Run</x:v>
      </x:c>
      <x:c r="Y104" s="23" t="str">
        <x:v>Not Run</x:v>
      </x:c>
      <x:c r="Z104" s="23" t="str">
        <x:v>Not Run</x:v>
      </x:c>
      <x:c r="AA104" s="23" t="str">
        <x:v>Not Run</x:v>
      </x:c>
      <x:c r="AB104" s="23" t="str"/>
    </x:row>
    <x:row r="105">
      <x:c r="A105" s="23" t="str">
        <x:v>SEP-001</x:v>
      </x:c>
      <x:c r="B105" s="23" t="str">
        <x:v>W13 HR operations</x:v>
      </x:c>
      <x:c r="C105" s="26" t="n">
        <x:v>100</x:v>
      </x:c>
      <x:c r="D105" s="23" t="str">
        <x:v>Separation Initiation</x:v>
      </x:c>
      <x:c r="E105" s="23" t="str">
        <x:v>/hr/employee-separations</x:v>
      </x:c>
      <x:c r="F105" s="23" t="str">
        <x:v>HR Separation Owner</x:v>
      </x:c>
      <x:c r="G105" s="23" t="str">
        <x:v>New Separation is a modal containing Employee, Type, date, reason, and four Department mappings; this is too consequential and dense for a dialog.</x:v>
      </x:c>
      <x:c r="H105" s="23" t="str">
        <x:v>Replace it with a guided full page: Employee preflight to separation details to clearance owners to impact review to Submit, with save protection and blocker links.</x:v>
      </x:c>
      <x:c r="I105" s="23" t="str">
        <x:v>UX/UI and implementation</x:v>
      </x:c>
      <x:c r="J105" s="23" t="str">
        <x:v>P0</x:v>
      </x:c>
      <x:c r="K105" s="23" t="str">
        <x:v>HRQ-004; AST-007; EMP-003</x:v>
      </x:c>
      <x:c r="L105" s="23" t="str">
        <x:v>Employee scope and eligibility are validated; all mandatory Department owners are selected; an existing active Separation is detected; Submit creates one case.</x:v>
      </x:c>
      <x:c r="M105" s="23" t="str">
        <x:v>Not Run: validation and idempotency tests and HR browser UAT across two Companies and Branches.</x:v>
      </x:c>
      <x:c r="N105" s="23" t="str">
        <x:v>Implemented / improvement needed</x:v>
      </x:c>
      <x:c r="O105" s="23" t="str">
        <x:v>Backlog</x:v>
      </x:c>
      <x:c r="P105" s="23" t="str">
        <x:v>Not Run</x:v>
      </x:c>
      <x:c r="Q105" s="23" t="str">
        <x:v>Not Run</x:v>
      </x:c>
      <x:c r="R105" s="23" t="str">
        <x:v>Not Run</x:v>
      </x:c>
      <x:c r="S105" s="23" t="str">
        <x:v>Backlog</x:v>
      </x:c>
      <x:c r="T105" s="29" t="str"/>
      <x:c r="U105" s="32" t="str"/>
      <x:c r="V105" s="23" t="str">
        <x:v>Current module source and workflow guide</x:v>
      </x:c>
      <x:c r="W105" s="23" t="str">
        <x:v>Not Run</x:v>
      </x:c>
      <x:c r="X105" s="23" t="str">
        <x:v>Not Run</x:v>
      </x:c>
      <x:c r="Y105" s="23" t="str">
        <x:v>Not Run</x:v>
      </x:c>
      <x:c r="Z105" s="23" t="str">
        <x:v>Not Run</x:v>
      </x:c>
      <x:c r="AA105" s="23" t="str">
        <x:v>Not Run</x:v>
      </x:c>
      <x:c r="AB105" s="23" t="str"/>
    </x:row>
    <x:row r="106">
      <x:c r="A106" s="23" t="str">
        <x:v>SEP-002</x:v>
      </x:c>
      <x:c r="B106" s="23" t="str">
        <x:v>W13 HR operations</x:v>
      </x:c>
      <x:c r="C106" s="26" t="n">
        <x:v>101</x:v>
      </x:c>
      <x:c r="D106" s="23" t="str">
        <x:v>Separation Approval and Clearance</x:v>
      </x:c>
      <x:c r="E106" s="23" t="str">
        <x:v>/hr/employee-separations/[id] and My Workspace clearance</x:v>
      </x:c>
      <x:c r="F106" s="23" t="str">
        <x:v>HR Approver, Department Owner, Asset Custodian</x:v>
      </x:c>
      <x:c r="G106" s="23" t="str">
        <x:v>Detail shows summary and items, but users need one lifecycle view with named ownership and direct remediation across Department and Asset blockers.</x:v>
      </x:c>
      <x:c r="H106" s="23" t="str">
        <x:v>Add a status timeline and progress by approval, HR, Finance, IT, Admin, and Asset clearance; link each blocker to its actionable page; record Clear and Reopen reasons.</x:v>
      </x:c>
      <x:c r="I106" s="23" t="str">
        <x:v>UX/UI and workflow</x:v>
      </x:c>
      <x:c r="J106" s="23" t="str">
        <x:v>P0</x:v>
      </x:c>
      <x:c r="K106" s="23" t="str">
        <x:v>SEP-001; AST-007</x:v>
      </x:c>
      <x:c r="L106" s="23" t="str">
        <x:v>Every mandatory item has owner, status, and history; out-of-scope Departments cannot act; Asset blockers reconcile automatically; Reopen records reason and version.</x:v>
      </x:c>
      <x:c r="M106" s="23" t="str">
        <x:v>Not Run: Clearance RBAC, direct-ID, and concurrency tests and multi-Department browser UAT.</x:v>
      </x:c>
      <x:c r="N106" s="23" t="str">
        <x:v>Implemented / improvement needed</x:v>
      </x:c>
      <x:c r="O106" s="23" t="str">
        <x:v>Backlog</x:v>
      </x:c>
      <x:c r="P106" s="23" t="str">
        <x:v>Not Run</x:v>
      </x:c>
      <x:c r="Q106" s="23" t="str">
        <x:v>Not Run</x:v>
      </x:c>
      <x:c r="R106" s="23" t="str">
        <x:v>Not Run</x:v>
      </x:c>
      <x:c r="S106" s="23" t="str">
        <x:v>Backlog</x:v>
      </x:c>
      <x:c r="T106" s="29" t="str"/>
      <x:c r="U106" s="32" t="str"/>
      <x:c r="V106" s="23" t="str">
        <x:v>Current module source and workflow guide</x:v>
      </x:c>
      <x:c r="W106" s="23" t="str">
        <x:v>Not Run</x:v>
      </x:c>
      <x:c r="X106" s="23" t="str">
        <x:v>Not Run</x:v>
      </x:c>
      <x:c r="Y106" s="23" t="str">
        <x:v>Not Run</x:v>
      </x:c>
      <x:c r="Z106" s="23" t="str">
        <x:v>Not Run</x:v>
      </x:c>
      <x:c r="AA106" s="23" t="str">
        <x:v>Not Run</x:v>
      </x:c>
      <x:c r="AB106" s="23" t="str"/>
    </x:row>
    <x:row r="107">
      <x:c r="A107" s="23" t="str">
        <x:v>SEP-003</x:v>
      </x:c>
      <x:c r="B107" s="23" t="str">
        <x:v>W13 HR operations</x:v>
      </x:c>
      <x:c r="C107" s="26" t="n">
        <x:v>102</x:v>
      </x:c>
      <x:c r="D107" s="23" t="str">
        <x:v>Final Separation Completion</x:v>
      </x:c>
      <x:c r="E107" s="23" t="str">
        <x:v>Separation detail</x:v>
      </x:c>
      <x:c r="F107" s="23" t="str">
        <x:v>HR Finalizer, Security and Operations Auditor</x:v>
      </x:c>
      <x:c r="G107" s="23" t="str">
        <x:v>[Cross-module] Final completion can affect Employee status, assignments, and sessions; the current UI needs a stronger consequence preview and reconciliation receipt.</x:v>
      </x:c>
      <x:c r="H107" s="23" t="str">
        <x:v>Add a final preflight and confirmation showing unresolved blockers, last working date, Employee deactivation, session revocation, and retained records; execute idempotently and produce a completion receipt.</x:v>
      </x:c>
      <x:c r="I107" s="23" t="str">
        <x:v>UX/UI and workflow</x:v>
      </x:c>
      <x:c r="J107" s="23" t="str">
        <x:v>P0</x:v>
      </x:c>
      <x:c r="K107" s="23" t="str">
        <x:v>SEP-002</x:v>
      </x:c>
      <x:c r="L107" s="23" t="str">
        <x:v>Completion is impossible with blockers; one completion deactivates intended access exactly once; historical HR, Payroll, and Asset records remain; a repeat command is safe.</x:v>
      </x:c>
      <x:c r="M107" s="23" t="str">
        <x:v>Not Run: transaction, idempotency, and session tests, database reconciliation, and HR/Security browser UAT.</x:v>
      </x:c>
      <x:c r="N107" s="23" t="str">
        <x:v>Implemented / improvement needed</x:v>
      </x:c>
      <x:c r="O107" s="23" t="str">
        <x:v>Backlog</x:v>
      </x:c>
      <x:c r="P107" s="23" t="str">
        <x:v>Not Run</x:v>
      </x:c>
      <x:c r="Q107" s="23" t="str">
        <x:v>Not Run</x:v>
      </x:c>
      <x:c r="R107" s="23" t="str">
        <x:v>Not Run</x:v>
      </x:c>
      <x:c r="S107" s="23" t="str">
        <x:v>Backlog</x:v>
      </x:c>
      <x:c r="T107" s="29" t="str"/>
      <x:c r="U107" s="32" t="str"/>
      <x:c r="V107" s="23" t="str">
        <x:v>Current module source and workflow guide</x:v>
      </x:c>
      <x:c r="W107" s="23" t="str">
        <x:v>Not Run</x:v>
      </x:c>
      <x:c r="X107" s="23" t="str">
        <x:v>Not Run</x:v>
      </x:c>
      <x:c r="Y107" s="23" t="str">
        <x:v>Not Run</x:v>
      </x:c>
      <x:c r="Z107" s="23" t="str">
        <x:v>Not Run</x:v>
      </x:c>
      <x:c r="AA107" s="23" t="str">
        <x:v>Not Run</x:v>
      </x:c>
      <x:c r="AB107" s="23" t="str"/>
    </x:row>
    <x:row r="108">
      <x:c r="A108" s="23" t="str">
        <x:v>PRJ-001</x:v>
      </x:c>
      <x:c r="B108" s="23" t="str">
        <x:v>W14 Projects</x:v>
      </x:c>
      <x:c r="C108" s="26" t="n">
        <x:v>103</x:v>
      </x:c>
      <x:c r="D108" s="23" t="str">
        <x:v>Project Create and Edit</x:v>
      </x:c>
      <x:c r="E108" s="23" t="str">
        <x:v>/projects/projects/new; /projects/projects/[id]/edit</x:v>
      </x:c>
      <x:c r="F108" s="23" t="str">
        <x:v>Project Administrator</x:v>
      </x:c>
      <x:c r="G108" s="23" t="str">
        <x:v>Project create and edit are large dialogs that can lose context and are difficult to use on smaller screens.</x:v>
      </x:c>
      <x:c r="H108" s="23" t="str">
        <x:v>Replace them with dedicated full pages using breadcrumbs, Save and Cancel, unsaved-change warning, and a predictable return to the existing list or detail page.</x:v>
      </x:c>
      <x:c r="I108" s="23" t="str">
        <x:v>UX/UI and implementation</x:v>
      </x:c>
      <x:c r="J108" s="23" t="str">
        <x:v>P1</x:v>
      </x:c>
      <x:c r="K108" s="23" t="str">
        <x:v>UX-01, UX-05,CFG-001</x:v>
      </x:c>
      <x:c r="L108" s="23" t="str">
        <x:v>An Internal Project can be created and edited by keyboard, field errors remain on the page, and cancel/back behavior is predictable without changing existing list/detail URLs.</x:v>
      </x:c>
      <x:c r="M108" s="23" t="str">
        <x:v>Not Run - component and real browser create/edit tests at desktop, mobile, and 200 percent zoom.</x:v>
      </x:c>
      <x:c r="N108" s="23" t="str">
        <x:v>Implemented / improvement needed</x:v>
      </x:c>
      <x:c r="O108" s="23" t="str">
        <x:v>Backlog</x:v>
      </x:c>
      <x:c r="P108" s="23" t="str">
        <x:v>Not Run</x:v>
      </x:c>
      <x:c r="Q108" s="23" t="str">
        <x:v>Not Run</x:v>
      </x:c>
      <x:c r="R108" s="23" t="str">
        <x:v>Not Run</x:v>
      </x:c>
      <x:c r="S108" s="23" t="str">
        <x:v>Backlog</x:v>
      </x:c>
      <x:c r="T108" s="29" t="str"/>
      <x:c r="U108" s="32" t="str"/>
      <x:c r="V108" s="23" t="str">
        <x:v>Current module source and production handoff</x:v>
      </x:c>
      <x:c r="W108" s="23" t="str">
        <x:v>Not Run</x:v>
      </x:c>
      <x:c r="X108" s="23" t="str">
        <x:v>Not Run</x:v>
      </x:c>
      <x:c r="Y108" s="23" t="str">
        <x:v>Not Run</x:v>
      </x:c>
      <x:c r="Z108" s="23" t="str">
        <x:v>Not Run</x:v>
      </x:c>
      <x:c r="AA108" s="23" t="str">
        <x:v>Not Run</x:v>
      </x:c>
      <x:c r="AB108" s="23" t="str"/>
    </x:row>
    <x:row r="109">
      <x:c r="A109" s="23" t="str">
        <x:v>PRJ-002</x:v>
      </x:c>
      <x:c r="B109" s="23" t="str">
        <x:v>W14 Projects</x:v>
      </x:c>
      <x:c r="C109" s="26" t="n">
        <x:v>104</x:v>
      </x:c>
      <x:c r="D109" s="23" t="str">
        <x:v>Project Activation</x:v>
      </x:c>
      <x:c r="E109" s="23" t="str">
        <x:v>/projects/projects/[id]</x:v>
      </x:c>
      <x:c r="F109" s="23" t="str">
        <x:v>Project Administrator, Project Manager</x:v>
      </x:c>
      <x:c r="G109" s="23" t="str">
        <x:v>Activation can become trial-and-error when prerequisites are missing.</x:v>
      </x:c>
      <x:c r="H109" s="23" t="str">
        <x:v>Show server-provided activation blockers, warnings, owning-screen links, and only server allowedActions before the lifecycle command is offered.</x:v>
      </x:c>
      <x:c r="I109" s="23" t="str">
        <x:v>UX/UI and workflow</x:v>
      </x:c>
      <x:c r="J109" s="23" t="str">
        <x:v>P1</x:v>
      </x:c>
      <x:c r="K109" s="23" t="str">
        <x:v>PRJ-001</x:v>
      </x:c>
      <x:c r="L109" s="23" t="str">
        <x:v>Activate is unavailable while blocked, every blocker links to its correction screen, and a refreshed successful preflight enables the action.</x:v>
      </x:c>
      <x:c r="M109" s="23" t="str">
        <x:v>Not Run - API contract and browser lifecycle tests for blocked and successful activation.</x:v>
      </x:c>
      <x:c r="N109" s="23" t="str">
        <x:v>Implemented / improvement needed</x:v>
      </x:c>
      <x:c r="O109" s="23" t="str">
        <x:v>Backlog</x:v>
      </x:c>
      <x:c r="P109" s="23" t="str">
        <x:v>Not Run</x:v>
      </x:c>
      <x:c r="Q109" s="23" t="str">
        <x:v>Not Run</x:v>
      </x:c>
      <x:c r="R109" s="23" t="str">
        <x:v>Not Run</x:v>
      </x:c>
      <x:c r="S109" s="23" t="str">
        <x:v>Backlog</x:v>
      </x:c>
      <x:c r="T109" s="29" t="str"/>
      <x:c r="U109" s="32" t="str"/>
      <x:c r="V109" s="23" t="str">
        <x:v>Current module source and production handoff</x:v>
      </x:c>
      <x:c r="W109" s="23" t="str">
        <x:v>Not Run</x:v>
      </x:c>
      <x:c r="X109" s="23" t="str">
        <x:v>Not Run</x:v>
      </x:c>
      <x:c r="Y109" s="23" t="str">
        <x:v>Not Run</x:v>
      </x:c>
      <x:c r="Z109" s="23" t="str">
        <x:v>Not Run</x:v>
      </x:c>
      <x:c r="AA109" s="23" t="str">
        <x:v>Not Run</x:v>
      </x:c>
      <x:c r="AB109" s="23" t="str"/>
    </x:row>
    <x:row r="110">
      <x:c r="A110" s="23" t="str">
        <x:v>PRJ-003</x:v>
      </x:c>
      <x:c r="B110" s="23" t="str">
        <x:v>W14 Projects</x:v>
      </x:c>
      <x:c r="C110" s="26" t="n">
        <x:v>105</x:v>
      </x:c>
      <x:c r="D110" s="23" t="str">
        <x:v>Project Workspace</x:v>
      </x:c>
      <x:c r="E110" s="23" t="str">
        <x:v>/projects/projects; /projects/projects/[id]</x:v>
      </x:c>
      <x:c r="F110" s="23" t="str">
        <x:v>Project Administrator, Project Manager</x:v>
      </x:c>
      <x:c r="G110" s="23" t="str">
        <x:v>The large workspace and tabs make filter, location, and state difficult to retain.</x:v>
      </x:c>
      <x:c r="H110" s="23" t="str">
        <x:v>Add server paging, filtering, sorting, responsive table/cards, clear status and owner context, URL-backed tabs, and distinct empty, loading, error, denied, and not-found states.</x:v>
      </x:c>
      <x:c r="I110" s="23" t="str">
        <x:v>UX/UI and implementation</x:v>
      </x:c>
      <x:c r="J110" s="23" t="str">
        <x:v>P2</x:v>
      </x:c>
      <x:c r="K110" s="23" t="str">
        <x:v>PRJ-001</x:v>
      </x:c>
      <x:c r="L110" s="23" t="str">
        <x:v>Refresh and Back preserve filters and the selected tab. Foreign records show safe not-found, and no list relies on a fixed first page.</x:v>
      </x:c>
      <x:c r="M110" s="23" t="str">
        <x:v>Not Run - component, responsive, paging, and two-tenant browser tests.</x:v>
      </x:c>
      <x:c r="N110" s="23" t="str">
        <x:v>Implemented / improvement needed</x:v>
      </x:c>
      <x:c r="O110" s="23" t="str">
        <x:v>Backlog</x:v>
      </x:c>
      <x:c r="P110" s="23" t="str">
        <x:v>Not Run</x:v>
      </x:c>
      <x:c r="Q110" s="23" t="str">
        <x:v>Not Run</x:v>
      </x:c>
      <x:c r="R110" s="23" t="str">
        <x:v>Not Run</x:v>
      </x:c>
      <x:c r="S110" s="23" t="str">
        <x:v>Backlog</x:v>
      </x:c>
      <x:c r="T110" s="29" t="str"/>
      <x:c r="U110" s="32" t="str"/>
      <x:c r="V110" s="23" t="str">
        <x:v>Current module source and production handoff</x:v>
      </x:c>
      <x:c r="W110" s="23" t="str">
        <x:v>Not Run</x:v>
      </x:c>
      <x:c r="X110" s="23" t="str">
        <x:v>Not Run</x:v>
      </x:c>
      <x:c r="Y110" s="23" t="str">
        <x:v>Not Run</x:v>
      </x:c>
      <x:c r="Z110" s="23" t="str">
        <x:v>Not Run</x:v>
      </x:c>
      <x:c r="AA110" s="23" t="str">
        <x:v>Not Run</x:v>
      </x:c>
      <x:c r="AB110" s="23" t="str"/>
    </x:row>
    <x:row r="111">
      <x:c r="A111" s="23" t="str">
        <x:v>PRJ-004</x:v>
      </x:c>
      <x:c r="B111" s="23" t="str">
        <x:v>W14 Projects</x:v>
      </x:c>
      <x:c r="C111" s="26" t="n">
        <x:v>106</x:v>
      </x:c>
      <x:c r="D111" s="23" t="str">
        <x:v>Project Stages and Team</x:v>
      </x:c>
      <x:c r="E111" s="23" t="str">
        <x:v>/projects/projects/[id]?tab=stages; /projects/projects/[id]?tab=team</x:v>
      </x:c>
      <x:c r="F111" s="23" t="str">
        <x:v>Project Manager</x:v>
      </x:c>
      <x:c r="G111" s="23" t="str">
        <x:v>Stage and team prerequisites, eligibility, effective dates, and lifecycle impact are unclear.</x:v>
      </x:c>
      <x:c r="H111" s="23" t="str">
        <x:v>Keep short contextual dialogs, but show server eligibility, effective-date and allocation validation, activation impact, end-assignment confirmation, and server-authorized actions.</x:v>
      </x:c>
      <x:c r="I111" s="23" t="str">
        <x:v>UX/UI and implementation</x:v>
      </x:c>
      <x:c r="J111" s="23" t="str">
        <x:v>P1</x:v>
      </x:c>
      <x:c r="K111" s="23" t="str">
        <x:v>PRJ-002</x:v>
      </x:c>
      <x:c r="L111" s="23" t="str">
        <x:v>Only eligible same-company Employees appear. Invalid dates or allocations show field errors, and ending a required assignment explains the impact.</x:v>
      </x:c>
      <x:c r="M111" s="23" t="str">
        <x:v>Not Run - service/action tests and Project Manager, outsider, and cross-tenant browser personas.</x:v>
      </x:c>
      <x:c r="N111" s="23" t="str">
        <x:v>Implemented / improvement needed</x:v>
      </x:c>
      <x:c r="O111" s="23" t="str">
        <x:v>Backlog</x:v>
      </x:c>
      <x:c r="P111" s="23" t="str">
        <x:v>Not Run</x:v>
      </x:c>
      <x:c r="Q111" s="23" t="str">
        <x:v>Not Run</x:v>
      </x:c>
      <x:c r="R111" s="23" t="str">
        <x:v>Not Run</x:v>
      </x:c>
      <x:c r="S111" s="23" t="str">
        <x:v>Backlog</x:v>
      </x:c>
      <x:c r="T111" s="29" t="str"/>
      <x:c r="U111" s="32" t="str"/>
      <x:c r="V111" s="23" t="str">
        <x:v>Current module source and production handoff</x:v>
      </x:c>
      <x:c r="W111" s="23" t="str">
        <x:v>Not Run</x:v>
      </x:c>
      <x:c r="X111" s="23" t="str">
        <x:v>Not Run</x:v>
      </x:c>
      <x:c r="Y111" s="23" t="str">
        <x:v>Not Run</x:v>
      </x:c>
      <x:c r="Z111" s="23" t="str">
        <x:v>Not Run</x:v>
      </x:c>
      <x:c r="AA111" s="23" t="str">
        <x:v>Not Run</x:v>
      </x:c>
      <x:c r="AB111" s="23" t="str"/>
    </x:row>
    <x:row r="112">
      <x:c r="A112" s="23" t="str">
        <x:v>PRJ-005</x:v>
      </x:c>
      <x:c r="B112" s="23" t="str">
        <x:v>W14 Projects</x:v>
      </x:c>
      <x:c r="C112" s="26" t="n">
        <x:v>107</x:v>
      </x:c>
      <x:c r="D112" s="23" t="str">
        <x:v>Project Tasks</x:v>
      </x:c>
      <x:c r="E112" s="23" t="str">
        <x:v>/projects/projects/[id]/tasks/new; /projects/projects/[id]/tasks/[taskId]</x:v>
      </x:c>
      <x:c r="F112" s="23" t="str">
        <x:v>Project Manager, Assignee</x:v>
      </x:c>
      <x:c r="G112" s="23" t="str">
        <x:v>Task create, detail, submission history, review history, and evidence are compressed into dialogs.</x:v>
      </x:c>
      <x:c r="H112" s="23" t="str">
        <x:v>Use a full Task page for multi-field create/edit and detail. Keep assignment and reason confirmations as short dialogs. Show assignee eligibility, immutable review rounds, and secure document state.</x:v>
      </x:c>
      <x:c r="I112" s="23" t="str">
        <x:v>UX/UI and implementation</x:v>
      </x:c>
      <x:c r="J112" s="23" t="str">
        <x:v>P1</x:v>
      </x:c>
      <x:c r="K112" s="23" t="str">
        <x:v>PRJ-004</x:v>
      </x:c>
      <x:c r="L112" s="23" t="str">
        <x:v>Deep links and refresh work, only active team members can be assigned, immutable history remains visible, and invalid parent/stage relationships are rejected.</x:v>
      </x:c>
      <x:c r="M112" s="23" t="str">
        <x:v>Not Run - component, API, and browser task tests including direct-ID negatives.</x:v>
      </x:c>
      <x:c r="N112" s="23" t="str">
        <x:v>Implemented / improvement needed</x:v>
      </x:c>
      <x:c r="O112" s="23" t="str">
        <x:v>Backlog</x:v>
      </x:c>
      <x:c r="P112" s="23" t="str">
        <x:v>Not Run</x:v>
      </x:c>
      <x:c r="Q112" s="23" t="str">
        <x:v>Not Run</x:v>
      </x:c>
      <x:c r="R112" s="23" t="str">
        <x:v>Not Run</x:v>
      </x:c>
      <x:c r="S112" s="23" t="str">
        <x:v>Backlog</x:v>
      </x:c>
      <x:c r="T112" s="29" t="str"/>
      <x:c r="U112" s="32" t="str"/>
      <x:c r="V112" s="23" t="str">
        <x:v>Current module source and production handoff</x:v>
      </x:c>
      <x:c r="W112" s="23" t="str">
        <x:v>Not Run</x:v>
      </x:c>
      <x:c r="X112" s="23" t="str">
        <x:v>Not Run</x:v>
      </x:c>
      <x:c r="Y112" s="23" t="str">
        <x:v>Not Run</x:v>
      </x:c>
      <x:c r="Z112" s="23" t="str">
        <x:v>Not Run</x:v>
      </x:c>
      <x:c r="AA112" s="23" t="str">
        <x:v>Not Run</x:v>
      </x:c>
      <x:c r="AB112" s="23" t="str"/>
    </x:row>
    <x:row r="113">
      <x:c r="A113" s="23" t="str">
        <x:v>PRJ-006</x:v>
      </x:c>
      <x:c r="B113" s="23" t="str">
        <x:v>W14 Projects</x:v>
      </x:c>
      <x:c r="C113" s="26" t="n">
        <x:v>108</x:v>
      </x:c>
      <x:c r="D113" s="23" t="str">
        <x:v>Project Task Workflow</x:v>
      </x:c>
      <x:c r="E113" s="23" t="str">
        <x:v>/my-workspace/projects; Project Task detail</x:v>
      </x:c>
      <x:c r="F113" s="23" t="str">
        <x:v>Assignee, Project Manager</x:v>
      </x:c>
      <x:c r="G113" s="23" t="str">
        <x:v>The Employee-to-Manager handoff and returned-work path are not sufficiently guided.</x:v>
      </x:c>
      <x:c r="H113" s="23" t="str">
        <x:v>Add a visible Assigned, In Progress, Waiting Review, Returned, and Completed progression; show the next owner, mandatory reasons, resubmission path, and conflict recovery that preserves input.</x:v>
      </x:c>
      <x:c r="I113" s="23" t="str">
        <x:v>UX/UI and workflow</x:v>
      </x:c>
      <x:c r="J113" s="23" t="str">
        <x:v>P1</x:v>
      </x:c>
      <x:c r="K113" s="23" t="str">
        <x:v>PRJ-005</x:v>
      </x:c>
      <x:c r="L113" s="23" t="str">
        <x:v>The assignee starts and submits, the correct Manager returns, the Employee resubmits, and the Manager completes. Other Managers and Employees are denied.</x:v>
      </x:c>
      <x:c r="M113" s="23" t="str">
        <x:v>Not Run - real persona browser test with audit and outbox assertions.</x:v>
      </x:c>
      <x:c r="N113" s="23" t="str">
        <x:v>Implemented / improvement needed</x:v>
      </x:c>
      <x:c r="O113" s="23" t="str">
        <x:v>Backlog</x:v>
      </x:c>
      <x:c r="P113" s="23" t="str">
        <x:v>Not Run</x:v>
      </x:c>
      <x:c r="Q113" s="23" t="str">
        <x:v>Not Run</x:v>
      </x:c>
      <x:c r="R113" s="23" t="str">
        <x:v>Not Run</x:v>
      </x:c>
      <x:c r="S113" s="23" t="str">
        <x:v>Backlog</x:v>
      </x:c>
      <x:c r="T113" s="29" t="str"/>
      <x:c r="U113" s="32" t="str"/>
      <x:c r="V113" s="23" t="str">
        <x:v>Current module source and production handoff</x:v>
      </x:c>
      <x:c r="W113" s="23" t="str">
        <x:v>Not Run</x:v>
      </x:c>
      <x:c r="X113" s="23" t="str">
        <x:v>Not Run</x:v>
      </x:c>
      <x:c r="Y113" s="23" t="str">
        <x:v>Not Run</x:v>
      </x:c>
      <x:c r="Z113" s="23" t="str">
        <x:v>Not Run</x:v>
      </x:c>
      <x:c r="AA113" s="23" t="str">
        <x:v>Not Run</x:v>
      </x:c>
      <x:c r="AB113" s="23" t="str"/>
    </x:row>
    <x:row r="114">
      <x:c r="A114" s="23" t="str">
        <x:v>PRJ-007</x:v>
      </x:c>
      <x:c r="B114" s="23" t="str">
        <x:v>W14 Projects</x:v>
      </x:c>
      <x:c r="C114" s="26" t="n">
        <x:v>109</x:v>
      </x:c>
      <x:c r="D114" s="23" t="str">
        <x:v>Project Integrations</x:v>
      </x:c>
      <x:c r="E114" s="23" t="str">
        <x:v>Project Documents, Time, and Finance Summary tabs</x:v>
      </x:c>
      <x:c r="F114" s="23" t="str">
        <x:v>Project Manager, Finance Reader</x:v>
      </x:c>
      <x:c r="G114" s="23" t="str">
        <x:v>Provider or dependency failures can look like an ordinary empty state.</x:v>
      </x:c>
      <x:c r="H114" s="23" t="str">
        <x:v>Distinguish disabled, unavailable, empty, loading, and error states; accept only CLEAN private documents; label Finance values approved cash income, approved cash expense, and operational net; show approved time only.</x:v>
      </x:c>
      <x:c r="I114" s="23" t="str">
        <x:v>UX/UI and workflow</x:v>
      </x:c>
      <x:c r="J114" s="23" t="str">
        <x:v>P1</x:v>
      </x:c>
      <x:c r="K114" s="23" t="str">
        <x:v>PRJ-002,ENV-002,FIN-005</x:v>
      </x:c>
      <x:c r="L114" s="23" t="str">
        <x:v>No public file URL is exposed, pending or unsafe files cannot link, a disabled Finance provider explains its prerequisite, and summaries reconcile to approved source rows.</x:v>
      </x:c>
      <x:c r="M114" s="23" t="str">
        <x:v>Not Run - provider-backed file checks and read-only database reconciliation.</x:v>
      </x:c>
      <x:c r="N114" s="23" t="str">
        <x:v>Implemented / gated</x:v>
      </x:c>
      <x:c r="O114" s="23" t="str">
        <x:v>Backlog</x:v>
      </x:c>
      <x:c r="P114" s="23" t="str">
        <x:v>Not Run</x:v>
      </x:c>
      <x:c r="Q114" s="23" t="str">
        <x:v>Not Run</x:v>
      </x:c>
      <x:c r="R114" s="23" t="str">
        <x:v>Not Run</x:v>
      </x:c>
      <x:c r="S114" s="23" t="str">
        <x:v>Backlog</x:v>
      </x:c>
      <x:c r="T114" s="29" t="str"/>
      <x:c r="U114" s="32" t="str"/>
      <x:c r="V114" s="23" t="str">
        <x:v>Current module source and production handoff</x:v>
      </x:c>
      <x:c r="W114" s="23" t="str">
        <x:v>Not Run</x:v>
      </x:c>
      <x:c r="X114" s="23" t="str">
        <x:v>Not Run</x:v>
      </x:c>
      <x:c r="Y114" s="23" t="str">
        <x:v>Not Run</x:v>
      </x:c>
      <x:c r="Z114" s="23" t="str">
        <x:v>Not Run</x:v>
      </x:c>
      <x:c r="AA114" s="23" t="str">
        <x:v>Not Run</x:v>
      </x:c>
      <x:c r="AB114" s="23" t="str"/>
    </x:row>
    <x:row r="115">
      <x:c r="A115" s="23" t="str">
        <x:v>TSH-001</x:v>
      </x:c>
      <x:c r="B115" s="23" t="str">
        <x:v>W15 Timesheets</x:v>
      </x:c>
      <x:c r="C115" s="26" t="n">
        <x:v>110</x:v>
      </x:c>
      <x:c r="D115" s="23" t="str">
        <x:v>Employee Timesheets</x:v>
      </x:c>
      <x:c r="E115" s="23" t="str">
        <x:v>/my-workspace/timesheets/new; /my-workspace/timesheets/[id]</x:v>
      </x:c>
      <x:c r="F115" s="23" t="str">
        <x:v>Employee</x:v>
      </x:c>
      <x:c r="G115" s="23" t="str">
        <x:v>Weekly creation and line editing are fragmented across dialogs.</x:v>
      </x:c>
      <x:c r="H115" s="23" t="str">
        <x:v>Introduce dedicated create, detail, and edit pages with week context, running totals, Save Draft, Submit, Cancel, breadcrumbs, and unsaved-change protection.</x:v>
      </x:c>
      <x:c r="I115" s="23" t="str">
        <x:v>UX/UI and workflow</x:v>
      </x:c>
      <x:c r="J115" s="23" t="str">
        <x:v>P1</x:v>
      </x:c>
      <x:c r="K115" s="23" t="str">
        <x:v>UX-01, UX-05,PRJ-005</x:v>
      </x:c>
      <x:c r="L115" s="23" t="str">
        <x:v>An Employee completes a full week without losing data, a returned sheet becomes editable, and terminal sheets remain read-only.</x:v>
      </x:c>
      <x:c r="M115" s="23" t="str">
        <x:v>Not Run - component and Employee browser tests across supported breakpoints.</x:v>
      </x:c>
      <x:c r="N115" s="23" t="str">
        <x:v>Implemented / improvement needed</x:v>
      </x:c>
      <x:c r="O115" s="23" t="str">
        <x:v>Backlog</x:v>
      </x:c>
      <x:c r="P115" s="23" t="str">
        <x:v>Not Run</x:v>
      </x:c>
      <x:c r="Q115" s="23" t="str">
        <x:v>Not Run</x:v>
      </x:c>
      <x:c r="R115" s="23" t="str">
        <x:v>Not Run</x:v>
      </x:c>
      <x:c r="S115" s="23" t="str">
        <x:v>Backlog</x:v>
      </x:c>
      <x:c r="T115" s="29" t="str"/>
      <x:c r="U115" s="32" t="str"/>
      <x:c r="V115" s="23" t="str">
        <x:v>Current module source and production handoff</x:v>
      </x:c>
      <x:c r="W115" s="23" t="str">
        <x:v>Not Run</x:v>
      </x:c>
      <x:c r="X115" s="23" t="str">
        <x:v>Not Run</x:v>
      </x:c>
      <x:c r="Y115" s="23" t="str">
        <x:v>Not Run</x:v>
      </x:c>
      <x:c r="Z115" s="23" t="str">
        <x:v>Not Run</x:v>
      </x:c>
      <x:c r="AA115" s="23" t="str">
        <x:v>Not Run</x:v>
      </x:c>
      <x:c r="AB115" s="23" t="str"/>
    </x:row>
    <x:row r="116">
      <x:c r="A116" s="23" t="str">
        <x:v>TSH-002</x:v>
      </x:c>
      <x:c r="B116" s="23" t="str">
        <x:v>W15 Timesheets</x:v>
      </x:c>
      <x:c r="C116" s="26" t="n">
        <x:v>111</x:v>
      </x:c>
      <x:c r="D116" s="23" t="str">
        <x:v>Timesheet Lines</x:v>
      </x:c>
      <x:c r="E116" s="23" t="str">
        <x:v>/my-workspace/timesheets/[id]</x:v>
      </x:c>
      <x:c r="F116" s="23" t="str">
        <x:v>Employee</x:v>
      </x:c>
      <x:c r="G116" s="23" t="str">
        <x:v>Timesheet targets and validation do not clearly distinguish a Project Task from a Work Category.</x:v>
      </x:c>
      <x:c r="H116" s="23" t="str">
        <x:v>Provide eligible Task and active Work Category lookups, enforce exactly one target, show working-date context and daily/weekly limit previews, and map errors inline.</x:v>
      </x:c>
      <x:c r="I116" s="23" t="str">
        <x:v>UX/UI and workflow</x:v>
      </x:c>
      <x:c r="J116" s="23" t="str">
        <x:v>P1</x:v>
      </x:c>
      <x:c r="K116" s="23" t="str">
        <x:v>TSH-001</x:v>
      </x:c>
      <x:c r="L116" s="23" t="str">
        <x:v>Foreign or ineligible Tasks are absent and rejected by direct request. Out-of-week and over-24-hour input fails safely, and totals use server values.</x:v>
      </x:c>
      <x:c r="M116" s="23" t="str">
        <x:v>Not Run - unit matrix, API negative cases, and browser form validation.</x:v>
      </x:c>
      <x:c r="N116" s="23" t="str">
        <x:v>Implemented / improvement needed</x:v>
      </x:c>
      <x:c r="O116" s="23" t="str">
        <x:v>Backlog</x:v>
      </x:c>
      <x:c r="P116" s="23" t="str">
        <x:v>Not Run</x:v>
      </x:c>
      <x:c r="Q116" s="23" t="str">
        <x:v>Not Run</x:v>
      </x:c>
      <x:c r="R116" s="23" t="str">
        <x:v>Not Run</x:v>
      </x:c>
      <x:c r="S116" s="23" t="str">
        <x:v>Backlog</x:v>
      </x:c>
      <x:c r="T116" s="29" t="str"/>
      <x:c r="U116" s="32" t="str"/>
      <x:c r="V116" s="23" t="str">
        <x:v>Current module source and production handoff</x:v>
      </x:c>
      <x:c r="W116" s="23" t="str">
        <x:v>Not Run</x:v>
      </x:c>
      <x:c r="X116" s="23" t="str">
        <x:v>Not Run</x:v>
      </x:c>
      <x:c r="Y116" s="23" t="str">
        <x:v>Not Run</x:v>
      </x:c>
      <x:c r="Z116" s="23" t="str">
        <x:v>Not Run</x:v>
      </x:c>
      <x:c r="AA116" s="23" t="str">
        <x:v>Not Run</x:v>
      </x:c>
      <x:c r="AB116" s="23" t="str"/>
    </x:row>
    <x:row r="117">
      <x:c r="A117" s="23" t="str">
        <x:v>TSH-003</x:v>
      </x:c>
      <x:c r="B117" s="23" t="str">
        <x:v>W15 Timesheets</x:v>
      </x:c>
      <x:c r="C117" s="26" t="n">
        <x:v>112</x:v>
      </x:c>
      <x:c r="D117" s="23" t="str">
        <x:v>Team Timesheets</x:v>
      </x:c>
      <x:c r="E117" s="23" t="str">
        <x:v>/team/timesheets; /team/timesheets/[id]</x:v>
      </x:c>
      <x:c r="F117" s="23" t="str">
        <x:v>Snapshotted Reporting Manager</x:v>
      </x:c>
      <x:c r="G117" s="23" t="str">
        <x:v>Approval can occur without a sufficiently clear line-by-line review.</x:v>
      </x:c>
      <x:c r="H117" s="23" t="str">
        <x:v>Add a full Manager detail page showing Employee, week, every line, Project, Task or Category, date, hours, remarks, total, and history. Return requires a reason.</x:v>
      </x:c>
      <x:c r="I117" s="23" t="str">
        <x:v>UX/UI and workflow</x:v>
      </x:c>
      <x:c r="J117" s="23" t="str">
        <x:v>P1</x:v>
      </x:c>
      <x:c r="K117" s="23" t="str">
        <x:v>TSH-001,TSH-002</x:v>
      </x:c>
      <x:c r="L117" s="23" t="str">
        <x:v>The Manager reviews all evidence before acting, self or foreign Managers cannot decide, and a corrected sheet can be resubmitted.</x:v>
      </x:c>
      <x:c r="M117" s="23" t="str">
        <x:v>Not Run - Manager, self-approval, foreign-manager, and cross-tenant API/browser tests.</x:v>
      </x:c>
      <x:c r="N117" s="23" t="str">
        <x:v>Implemented / improvement needed</x:v>
      </x:c>
      <x:c r="O117" s="23" t="str">
        <x:v>Backlog</x:v>
      </x:c>
      <x:c r="P117" s="23" t="str">
        <x:v>Not Run</x:v>
      </x:c>
      <x:c r="Q117" s="23" t="str">
        <x:v>Not Run</x:v>
      </x:c>
      <x:c r="R117" s="23" t="str">
        <x:v>Not Run</x:v>
      </x:c>
      <x:c r="S117" s="23" t="str">
        <x:v>Backlog</x:v>
      </x:c>
      <x:c r="T117" s="29" t="str"/>
      <x:c r="U117" s="32" t="str"/>
      <x:c r="V117" s="23" t="str">
        <x:v>Current module source and production handoff</x:v>
      </x:c>
      <x:c r="W117" s="23" t="str">
        <x:v>Not Run</x:v>
      </x:c>
      <x:c r="X117" s="23" t="str">
        <x:v>Not Run</x:v>
      </x:c>
      <x:c r="Y117" s="23" t="str">
        <x:v>Not Run</x:v>
      </x:c>
      <x:c r="Z117" s="23" t="str">
        <x:v>Not Run</x:v>
      </x:c>
      <x:c r="AA117" s="23" t="str">
        <x:v>Not Run</x:v>
      </x:c>
      <x:c r="AB117" s="23" t="str"/>
    </x:row>
    <x:row r="118">
      <x:c r="A118" s="23" t="str">
        <x:v>TSH-004</x:v>
      </x:c>
      <x:c r="B118" s="23" t="str">
        <x:v>W15 Timesheets</x:v>
      </x:c>
      <x:c r="C118" s="26" t="n">
        <x:v>113</x:v>
      </x:c>
      <x:c r="D118" s="23" t="str">
        <x:v>Timesheet Concurrency</x:v>
      </x:c>
      <x:c r="E118" s="23" t="str">
        <x:v>Employee and Team Timesheet detail</x:v>
      </x:c>
      <x:c r="F118" s="23" t="str">
        <x:v>Employee, Manager</x:v>
      </x:c>
      <x:c r="G118" s="23" t="str">
        <x:v>Stale edits or decisions can lose input or create ambiguous outcomes.</x:v>
      </x:c>
      <x:c r="H118" s="23" t="str">
        <x:v>Preserve form or reason input on 409, refetch the authoritative version, show that the record changed, require explicit retry, and prohibit optimistic lifecycle transitions.</x:v>
      </x:c>
      <x:c r="I118" s="23" t="str">
        <x:v>UX/UI and workflow</x:v>
      </x:c>
      <x:c r="J118" s="23" t="str">
        <x:v>P1</x:v>
      </x:c>
      <x:c r="K118" s="23" t="str">
        <x:v>TSH-001,TSH-003</x:v>
      </x:c>
      <x:c r="L118" s="23" t="str">
        <x:v>Two sessions produce one committed outcome, approved lines remain immutable, and a retry does not duplicate the command.</x:v>
      </x:c>
      <x:c r="M118" s="23" t="str">
        <x:v>Not Run - real PostgreSQL CAS/concurrency tests and a two-browser conflict test.</x:v>
      </x:c>
      <x:c r="N118" s="23" t="str">
        <x:v>Implemented / improvement needed</x:v>
      </x:c>
      <x:c r="O118" s="23" t="str">
        <x:v>Backlog</x:v>
      </x:c>
      <x:c r="P118" s="23" t="str">
        <x:v>Not Run</x:v>
      </x:c>
      <x:c r="Q118" s="23" t="str">
        <x:v>Not Run</x:v>
      </x:c>
      <x:c r="R118" s="23" t="str">
        <x:v>Not Run</x:v>
      </x:c>
      <x:c r="S118" s="23" t="str">
        <x:v>Backlog</x:v>
      </x:c>
      <x:c r="T118" s="29" t="str"/>
      <x:c r="U118" s="32" t="str"/>
      <x:c r="V118" s="23" t="str">
        <x:v>Current module source and production handoff</x:v>
      </x:c>
      <x:c r="W118" s="23" t="str">
        <x:v>Not Run</x:v>
      </x:c>
      <x:c r="X118" s="23" t="str">
        <x:v>Not Run</x:v>
      </x:c>
      <x:c r="Y118" s="23" t="str">
        <x:v>Not Run</x:v>
      </x:c>
      <x:c r="Z118" s="23" t="str">
        <x:v>Not Run</x:v>
      </x:c>
      <x:c r="AA118" s="23" t="str">
        <x:v>Not Run</x:v>
      </x:c>
      <x:c r="AB118" s="23" t="str"/>
    </x:row>
    <x:row r="119">
      <x:c r="A119" s="23" t="str">
        <x:v>TSH-005</x:v>
      </x:c>
      <x:c r="B119" s="23" t="str">
        <x:v>W15 Timesheets</x:v>
      </x:c>
      <x:c r="C119" s="26" t="n">
        <x:v>114</x:v>
      </x:c>
      <x:c r="D119" s="23" t="str">
        <x:v>Timesheet Lists and Accessibility</x:v>
      </x:c>
      <x:c r="E119" s="23" t="str">
        <x:v>/my-workspace/timesheets; /team/timesheets</x:v>
      </x:c>
      <x:c r="F119" s="23" t="str">
        <x:v>Employee, Manager</x:v>
      </x:c>
      <x:c r="G119" s="23" t="str">
        <x:v>Queue discovery, mobile layout, keyboard use, and high zoom need polish.</x:v>
      </x:c>
      <x:c r="H119" s="23" t="str">
        <x:v>Add actionable default queues, server filters, paging and sorting, clear status/total/approver columns, responsive layouts, logical focus order, and 200 percent zoom support.</x:v>
      </x:c>
      <x:c r="I119" s="23" t="str">
        <x:v>UX/UI and implementation</x:v>
      </x:c>
      <x:c r="J119" s="23" t="str">
        <x:v>P2</x:v>
      </x:c>
      <x:c r="K119" s="23" t="str">
        <x:v>TSH-001,TSH-003</x:v>
      </x:c>
      <x:c r="L119" s="23" t="str">
        <x:v>The approver lands on submitted work, actions remain visible without horizontal loss, and keyboard/mobile/200 percent zoom use passes.</x:v>
      </x:c>
      <x:c r="M119" s="23" t="str">
        <x:v>Not Run - responsive, keyboard, focus, and accessibility browser review.</x:v>
      </x:c>
      <x:c r="N119" s="23" t="str">
        <x:v>Implemented / improvement needed</x:v>
      </x:c>
      <x:c r="O119" s="23" t="str">
        <x:v>Backlog</x:v>
      </x:c>
      <x:c r="P119" s="23" t="str">
        <x:v>Not Run</x:v>
      </x:c>
      <x:c r="Q119" s="23" t="str">
        <x:v>Not Run</x:v>
      </x:c>
      <x:c r="R119" s="23" t="str">
        <x:v>Not Run</x:v>
      </x:c>
      <x:c r="S119" s="23" t="str">
        <x:v>Backlog</x:v>
      </x:c>
      <x:c r="T119" s="29" t="str"/>
      <x:c r="U119" s="32" t="str"/>
      <x:c r="V119" s="23" t="str">
        <x:v>Current module source and production handoff</x:v>
      </x:c>
      <x:c r="W119" s="23" t="str">
        <x:v>Not Run</x:v>
      </x:c>
      <x:c r="X119" s="23" t="str">
        <x:v>Not Run</x:v>
      </x:c>
      <x:c r="Y119" s="23" t="str">
        <x:v>Not Run</x:v>
      </x:c>
      <x:c r="Z119" s="23" t="str">
        <x:v>Not Run</x:v>
      </x:c>
      <x:c r="AA119" s="23" t="str">
        <x:v>Not Run</x:v>
      </x:c>
      <x:c r="AB119" s="23" t="str"/>
    </x:row>
    <x:row r="120">
      <x:c r="A120" s="23" t="str">
        <x:v>FIN-001</x:v>
      </x:c>
      <x:c r="B120" s="23" t="str">
        <x:v>W16 Office Finance</x:v>
      </x:c>
      <x:c r="C120" s="26" t="n">
        <x:v>115</x:v>
      </x:c>
      <x:c r="D120" s="23" t="str">
        <x:v>Finance Setup</x:v>
      </x:c>
      <x:c r="E120" s="23" t="str">
        <x:v>/office-finance/setup</x:v>
      </x:c>
      <x:c r="F120" s="23" t="str">
        <x:v>Finance Setup Administrator</x:v>
      </x:c>
      <x:c r="G120" s="23" t="str">
        <x:v>Setup tabs do not communicate configuration order or Payroll dependencies.</x:v>
      </x:c>
      <x:c r="H120" s="23" t="str">
        <x:v>Add the sequence Financial Profile, Business Parties, Categories, Payment Accounts, and Periods, with completion states, remediation links, URL-persisted tabs, and last-four-only bank reference display.</x:v>
      </x:c>
      <x:c r="I120" s="23" t="str">
        <x:v>UX/UI and workflow</x:v>
      </x:c>
      <x:c r="J120" s="23" t="str">
        <x:v>P1</x:v>
      </x:c>
      <x:c r="K120" s="23" t="str">
        <x:v>CFG-003,ENV-002</x:v>
      </x:c>
      <x:c r="L120" s="23" t="str">
        <x:v>A new Company can complete setup in order, missing prerequisites block dependent actions with a direct link, and a plaintext bank reference is never returned.</x:v>
      </x:c>
      <x:c r="M120" s="23" t="str">
        <x:v>Not Run - component, API, browser, and network-response setup tests.</x:v>
      </x:c>
      <x:c r="N120" s="23" t="str">
        <x:v>Implemented / improvement needed</x:v>
      </x:c>
      <x:c r="O120" s="23" t="str">
        <x:v>Backlog</x:v>
      </x:c>
      <x:c r="P120" s="23" t="str">
        <x:v>Not Run</x:v>
      </x:c>
      <x:c r="Q120" s="23" t="str">
        <x:v>Not Run</x:v>
      </x:c>
      <x:c r="R120" s="23" t="str">
        <x:v>Not Run</x:v>
      </x:c>
      <x:c r="S120" s="23" t="str">
        <x:v>Backlog</x:v>
      </x:c>
      <x:c r="T120" s="29" t="str"/>
      <x:c r="U120" s="32" t="str"/>
      <x:c r="V120" s="23" t="str">
        <x:v>Current module source and production handoff</x:v>
      </x:c>
      <x:c r="W120" s="23" t="str">
        <x:v>Not Run</x:v>
      </x:c>
      <x:c r="X120" s="23" t="str">
        <x:v>Not Run</x:v>
      </x:c>
      <x:c r="Y120" s="23" t="str">
        <x:v>Not Run</x:v>
      </x:c>
      <x:c r="Z120" s="23" t="str">
        <x:v>Not Run</x:v>
      </x:c>
      <x:c r="AA120" s="23" t="str">
        <x:v>Not Run</x:v>
      </x:c>
      <x:c r="AB120" s="23" t="str"/>
    </x:row>
    <x:row r="121">
      <x:c r="A121" s="23" t="str">
        <x:v>FIN-002</x:v>
      </x:c>
      <x:c r="B121" s="23" t="str">
        <x:v>W16 Office Finance</x:v>
      </x:c>
      <x:c r="C121" s="26" t="n">
        <x:v>116</x:v>
      </x:c>
      <x:c r="D121" s="23" t="str">
        <x:v>Finance Transactions</x:v>
      </x:c>
      <x:c r="E121" s="23" t="str">
        <x:v>/office-finance/transactions/new; /office-finance/transactions/[id]/edit</x:v>
      </x:c>
      <x:c r="F121" s="23" t="str">
        <x:v>Finance Maker</x:v>
      </x:c>
      <x:c r="G121" s="23" t="str">
        <x:v>The major transaction create/edit workflow is implemented in a drawer.</x:v>
      </x:c>
      <x:c r="H121" s="23" t="str">
        <x:v>Replace it with full pages while preserving existing list and detail routes. Add breadcrumbs, draft persistence, unsaved-change warning, and predictable return behavior.</x:v>
      </x:c>
      <x:c r="I121" s="23" t="str">
        <x:v>UX/UI and implementation</x:v>
      </x:c>
      <x:c r="J121" s="23" t="str">
        <x:v>P1</x:v>
      </x:c>
      <x:c r="K121" s="23" t="str">
        <x:v>UX-01, UX-05,FIN-001</x:v>
      </x:c>
      <x:c r="L121" s="23" t="str">
        <x:v>Income, Expense, and Transfer drafts preserve valid input through field errors and conflicts. Only a server-capable Maker sees create or edit.</x:v>
      </x:c>
      <x:c r="M121" s="23" t="str">
        <x:v>Not Run - component and Maker browser tests on desktop, mobile, keyboard, and 200 percent zoom.</x:v>
      </x:c>
      <x:c r="N121" s="23" t="str">
        <x:v>Implemented / improvement needed</x:v>
      </x:c>
      <x:c r="O121" s="23" t="str">
        <x:v>Backlog</x:v>
      </x:c>
      <x:c r="P121" s="23" t="str">
        <x:v>Not Run</x:v>
      </x:c>
      <x:c r="Q121" s="23" t="str">
        <x:v>Not Run</x:v>
      </x:c>
      <x:c r="R121" s="23" t="str">
        <x:v>Not Run</x:v>
      </x:c>
      <x:c r="S121" s="23" t="str">
        <x:v>Backlog</x:v>
      </x:c>
      <x:c r="T121" s="29" t="str"/>
      <x:c r="U121" s="32" t="str"/>
      <x:c r="V121" s="23" t="str">
        <x:v>Current module source and production handoff</x:v>
      </x:c>
      <x:c r="W121" s="23" t="str">
        <x:v>Not Run</x:v>
      </x:c>
      <x:c r="X121" s="23" t="str">
        <x:v>Not Run</x:v>
      </x:c>
      <x:c r="Y121" s="23" t="str">
        <x:v>Not Run</x:v>
      </x:c>
      <x:c r="Z121" s="23" t="str">
        <x:v>Not Run</x:v>
      </x:c>
      <x:c r="AA121" s="23" t="str">
        <x:v>Not Run</x:v>
      </x:c>
      <x:c r="AB121" s="23" t="str"/>
    </x:row>
    <x:row r="122">
      <x:c r="A122" s="23" t="str">
        <x:v>FIN-003</x:v>
      </x:c>
      <x:c r="B122" s="23" t="str">
        <x:v>W16 Office Finance</x:v>
      </x:c>
      <x:c r="C122" s="26" t="n">
        <x:v>117</x:v>
      </x:c>
      <x:c r="D122" s="23" t="str">
        <x:v>Finance Transaction Form</x:v>
      </x:c>
      <x:c r="E122" s="23" t="str">
        <x:v>Finance transaction new/edit pages</x:v>
      </x:c>
      <x:c r="F122" s="23" t="str">
        <x:v>Finance Maker</x:v>
      </x:c>
      <x:c r="G122" s="23" t="str">
        <x:v>Type-specific requirements, Branch context, and entity selectors are easy to misunderstand.</x:v>
      </x:c>
      <x:c r="H122" s="23" t="str">
        <x:v>Dynamically show only valid source/destination accounts, category, Party, Department, Employee, and Project inputs; show currency and period context; prevent invalid mixed-Branch combinations.</x:v>
      </x:c>
      <x:c r="I122" s="23" t="str">
        <x:v>UX/UI and workflow</x:v>
      </x:c>
      <x:c r="J122" s="23" t="str">
        <x:v>P1</x:v>
      </x:c>
      <x:c r="K122" s="23" t="str">
        <x:v>FIN-002</x:v>
      </x:c>
      <x:c r="L122" s="23" t="str">
        <x:v>Each transaction type submits only a valid complete shape. Foreign or inactive IDs are absent and rejected, and locked/out-of-range periods are explained.</x:v>
      </x:c>
      <x:c r="M122" s="23" t="str">
        <x:v>Not Run - transaction-shape unit matrix, API negatives, and browser form tests.</x:v>
      </x:c>
      <x:c r="N122" s="23" t="str">
        <x:v>Implemented / improvement needed</x:v>
      </x:c>
      <x:c r="O122" s="23" t="str">
        <x:v>Backlog</x:v>
      </x:c>
      <x:c r="P122" s="23" t="str">
        <x:v>Not Run</x:v>
      </x:c>
      <x:c r="Q122" s="23" t="str">
        <x:v>Not Run</x:v>
      </x:c>
      <x:c r="R122" s="23" t="str">
        <x:v>Not Run</x:v>
      </x:c>
      <x:c r="S122" s="23" t="str">
        <x:v>Backlog</x:v>
      </x:c>
      <x:c r="T122" s="29" t="str"/>
      <x:c r="U122" s="32" t="str"/>
      <x:c r="V122" s="23" t="str">
        <x:v>Current module source and production handoff</x:v>
      </x:c>
      <x:c r="W122" s="23" t="str">
        <x:v>Not Run</x:v>
      </x:c>
      <x:c r="X122" s="23" t="str">
        <x:v>Not Run</x:v>
      </x:c>
      <x:c r="Y122" s="23" t="str">
        <x:v>Not Run</x:v>
      </x:c>
      <x:c r="Z122" s="23" t="str">
        <x:v>Not Run</x:v>
      </x:c>
      <x:c r="AA122" s="23" t="str">
        <x:v>Not Run</x:v>
      </x:c>
      <x:c r="AB122" s="23" t="str"/>
    </x:row>
    <x:row r="123">
      <x:c r="A123" s="23" t="str">
        <x:v>FIN-004</x:v>
      </x:c>
      <x:c r="B123" s="23" t="str">
        <x:v>W16 Office Finance</x:v>
      </x:c>
      <x:c r="C123" s="26" t="n">
        <x:v>118</x:v>
      </x:c>
      <x:c r="D123" s="23" t="str">
        <x:v>Finance Lifecycle</x:v>
      </x:c>
      <x:c r="E123" s="23" t="str">
        <x:v>/office-finance/transactions/[id]</x:v>
      </x:c>
      <x:c r="F123" s="23" t="str">
        <x:v>Finance Maker, Independent Approver, Reverser</x:v>
      </x:c>
      <x:c r="G123" s="23" t="str">
        <x:v>Maker-checker handoffs, evidence, secure attachments, reversal, and stale conflicts are difficult to follow.</x:v>
      </x:c>
      <x:c r="H123" s="23" t="str">
        <x:v>Add a Draft, Submitted, Returned/Approved, and Reversed timeline; show current owner and server actions; use private CLEAN attachments; require reasons; preserve input on 409 and refetch before retry.</x:v>
      </x:c>
      <x:c r="I123" s="23" t="str">
        <x:v>UX/UI and workflow</x:v>
      </x:c>
      <x:c r="J123" s="23" t="str">
        <x:v>P1</x:v>
      </x:c>
      <x:c r="K123" s="23" t="str">
        <x:v>FIN-002,ENV-002</x:v>
      </x:c>
      <x:c r="L123" s="23" t="str">
        <x:v>The Maker cannot self-approve, an approved record cannot be edited, exactly one reversal is possible, attachment grants are short-lived, and a stale action commits once.</x:v>
      </x:c>
      <x:c r="M123" s="23" t="str">
        <x:v>Not Run - API/browser personas, database immutability checks, and provider-backed storage evidence.</x:v>
      </x:c>
      <x:c r="N123" s="23" t="str">
        <x:v>Implemented / improvement needed</x:v>
      </x:c>
      <x:c r="O123" s="23" t="str">
        <x:v>Backlog</x:v>
      </x:c>
      <x:c r="P123" s="23" t="str">
        <x:v>Not Run</x:v>
      </x:c>
      <x:c r="Q123" s="23" t="str">
        <x:v>Not Run</x:v>
      </x:c>
      <x:c r="R123" s="23" t="str">
        <x:v>Not Run</x:v>
      </x:c>
      <x:c r="S123" s="23" t="str">
        <x:v>Backlog</x:v>
      </x:c>
      <x:c r="T123" s="29" t="str"/>
      <x:c r="U123" s="32" t="str"/>
      <x:c r="V123" s="23" t="str">
        <x:v>Current module source and production handoff</x:v>
      </x:c>
      <x:c r="W123" s="23" t="str">
        <x:v>Not Run</x:v>
      </x:c>
      <x:c r="X123" s="23" t="str">
        <x:v>Not Run</x:v>
      </x:c>
      <x:c r="Y123" s="23" t="str">
        <x:v>Not Run</x:v>
      </x:c>
      <x:c r="Z123" s="23" t="str">
        <x:v>Not Run</x:v>
      </x:c>
      <x:c r="AA123" s="23" t="str">
        <x:v>Not Run</x:v>
      </x:c>
      <x:c r="AB123" s="23" t="str"/>
    </x:row>
    <x:row r="124">
      <x:c r="A124" s="23" t="str">
        <x:v>FIN-005</x:v>
      </x:c>
      <x:c r="B124" s="23" t="str">
        <x:v>W16 Office Finance</x:v>
      </x:c>
      <x:c r="C124" s="26" t="n">
        <x:v>119</x:v>
      </x:c>
      <x:c r="D124" s="23" t="str">
        <x:v>Finance Reports</x:v>
      </x:c>
      <x:c r="E124" s="23" t="str">
        <x:v>/office-finance; /office-finance/reports</x:v>
      </x:c>
      <x:c r="F124" s="23" t="str">
        <x:v>Finance Reader</x:v>
      </x:c>
      <x:c r="G124" s="23" t="str">
        <x:v>Users may interpret operational reports as full accounting, and export safety needs release-level proof.</x:v>
      </x:c>
      <x:c r="H124" s="23" t="str">
        <x:v>Use precise operational labels, action-linked cards, date/account/category/Party/Department/Project filters, reconciliation totals, and capability-gated formula-safe CSV export.</x:v>
      </x:c>
      <x:c r="I124" s="23" t="str">
        <x:v>UX/UI and workflow</x:v>
      </x:c>
      <x:c r="J124" s="23" t="str">
        <x:v>P1</x:v>
      </x:c>
      <x:c r="K124" s="23" t="str">
        <x:v>FIN-004</x:v>
      </x:c>
      <x:c r="L124" s="23" t="str">
        <x:v>Approved non-reversed movements reconcile exactly, formula prefixes are neutralized in CSV, and the UI never labels results as statutory accounting or profit.</x:v>
      </x:c>
      <x:c r="M124" s="23" t="str">
        <x:v>Not Run - report fixtures, CSV unit tests, browser download, and read-only database reconciliation.</x:v>
      </x:c>
      <x:c r="N124" s="23" t="str">
        <x:v>Implemented / improvement needed</x:v>
      </x:c>
      <x:c r="O124" s="23" t="str">
        <x:v>Backlog</x:v>
      </x:c>
      <x:c r="P124" s="23" t="str">
        <x:v>Not Run</x:v>
      </x:c>
      <x:c r="Q124" s="23" t="str">
        <x:v>Not Run</x:v>
      </x:c>
      <x:c r="R124" s="23" t="str">
        <x:v>Not Run</x:v>
      </x:c>
      <x:c r="S124" s="23" t="str">
        <x:v>Backlog</x:v>
      </x:c>
      <x:c r="T124" s="29" t="str"/>
      <x:c r="U124" s="32" t="str"/>
      <x:c r="V124" s="23" t="str">
        <x:v>Current module source and production handoff</x:v>
      </x:c>
      <x:c r="W124" s="23" t="str">
        <x:v>Not Run</x:v>
      </x:c>
      <x:c r="X124" s="23" t="str">
        <x:v>Not Run</x:v>
      </x:c>
      <x:c r="Y124" s="23" t="str">
        <x:v>Not Run</x:v>
      </x:c>
      <x:c r="Z124" s="23" t="str">
        <x:v>Not Run</x:v>
      </x:c>
      <x:c r="AA124" s="23" t="str">
        <x:v>Not Run</x:v>
      </x:c>
      <x:c r="AB124" s="23" t="str"/>
    </x:row>
    <x:row r="125">
      <x:c r="A125" s="23" t="str">
        <x:v>PAY-001</x:v>
      </x:c>
      <x:c r="B125" s="23" t="str">
        <x:v>W17 Payroll</x:v>
      </x:c>
      <x:c r="C125" s="26" t="n">
        <x:v>120</x:v>
      </x:c>
      <x:c r="D125" s="23" t="str">
        <x:v>Payroll Workspace</x:v>
      </x:c>
      <x:c r="E125" s="23" t="str">
        <x:v>/hr/payroll</x:v>
      </x:c>
      <x:c r="F125" s="23" t="str">
        <x:v>Payroll Administrator, Payroll Maker</x:v>
      </x:c>
      <x:c r="G125" s="23" t="str">
        <x:v>Dense tabs and internal dependency codes do not guide production readiness.</x:v>
      </x:c>
      <x:c r="H125" s="23" t="str">
        <x:v>Group Setup, Process, Operations, and Reports. Render a human-readable readiness checklist for Finance, File Storage, jobs, Attendance Periods, salary data, and open Finance Period with owning-screen links.</x:v>
      </x:c>
      <x:c r="I125" s="23" t="str">
        <x:v>UX/UI and workflow</x:v>
      </x:c>
      <x:c r="J125" s="23" t="str">
        <x:v>P1</x:v>
      </x:c>
      <x:c r="K125" s="23" t="str">
        <x:v>CFG-003,FIN-001,ENV-002</x:v>
      </x:c>
      <x:c r="L125" s="23" t="str">
        <x:v>Each blocked reason identifies the exact correction screen. Unavailable tabs or actions are hidden or explained using server capabilities.</x:v>
      </x:c>
      <x:c r="M125" s="23" t="str">
        <x:v>Not Run - capability component, API, and browser tests for ready and blocked states.</x:v>
      </x:c>
      <x:c r="N125" s="23" t="str">
        <x:v>Implemented / improvement needed</x:v>
      </x:c>
      <x:c r="O125" s="23" t="str">
        <x:v>Backlog</x:v>
      </x:c>
      <x:c r="P125" s="23" t="str">
        <x:v>Not Run</x:v>
      </x:c>
      <x:c r="Q125" s="23" t="str">
        <x:v>Not Run</x:v>
      </x:c>
      <x:c r="R125" s="23" t="str">
        <x:v>Not Run</x:v>
      </x:c>
      <x:c r="S125" s="23" t="str">
        <x:v>Backlog</x:v>
      </x:c>
      <x:c r="T125" s="29" t="str"/>
      <x:c r="U125" s="32" t="str"/>
      <x:c r="V125" s="23" t="str">
        <x:v>Current module source and production handoff</x:v>
      </x:c>
      <x:c r="W125" s="23" t="str">
        <x:v>Not Run</x:v>
      </x:c>
      <x:c r="X125" s="23" t="str">
        <x:v>Not Run</x:v>
      </x:c>
      <x:c r="Y125" s="23" t="str">
        <x:v>Not Run</x:v>
      </x:c>
      <x:c r="Z125" s="23" t="str">
        <x:v>Not Run</x:v>
      </x:c>
      <x:c r="AA125" s="23" t="str">
        <x:v>Not Run</x:v>
      </x:c>
      <x:c r="AB125" s="23" t="str"/>
    </x:row>
    <x:row r="126">
      <x:c r="A126" s="23" t="str">
        <x:v>PAY-002</x:v>
      </x:c>
      <x:c r="B126" s="23" t="str">
        <x:v>W17 Payroll</x:v>
      </x:c>
      <x:c r="C126" s="26" t="n">
        <x:v>121</x:v>
      </x:c>
      <x:c r="D126" s="23" t="str">
        <x:v>Payroll Run Creation</x:v>
      </x:c>
      <x:c r="E126" s="23" t="str">
        <x:v>/hr/payroll/runs/new</x:v>
      </x:c>
      <x:c r="F126" s="23" t="str">
        <x:v>Payroll Maker</x:v>
      </x:c>
      <x:c r="G126" s="23" t="str">
        <x:v>New Payroll Run is a drawer and preflight information is cramped.</x:v>
      </x:c>
      <x:c r="H126" s="23" t="str">
        <x:v>Create a full page with year/month, remarks, eligible Employee count, blockers, warnings, refresh, remediation links, and preserved input across errors.</x:v>
      </x:c>
      <x:c r="I126" s="23" t="str">
        <x:v>UX/UI and implementation</x:v>
      </x:c>
      <x:c r="J126" s="23" t="str">
        <x:v>P1</x:v>
      </x:c>
      <x:c r="K126" s="23" t="str">
        <x:v>UX-01, UX-05,PAY-001</x:v>
      </x:c>
      <x:c r="L126" s="23" t="str">
        <x:v>A Run cannot be created while a blocker exists, warnings remain visible, and a duplicate period produces a stable conflict without lost input.</x:v>
      </x:c>
      <x:c r="M126" s="23" t="str">
        <x:v>Not Run - preflight unit/API tests and Payroll Maker browser tests.</x:v>
      </x:c>
      <x:c r="N126" s="23" t="str">
        <x:v>Implemented / improvement needed</x:v>
      </x:c>
      <x:c r="O126" s="23" t="str">
        <x:v>Backlog</x:v>
      </x:c>
      <x:c r="P126" s="23" t="str">
        <x:v>Not Run</x:v>
      </x:c>
      <x:c r="Q126" s="23" t="str">
        <x:v>Not Run</x:v>
      </x:c>
      <x:c r="R126" s="23" t="str">
        <x:v>Not Run</x:v>
      </x:c>
      <x:c r="S126" s="23" t="str">
        <x:v>Backlog</x:v>
      </x:c>
      <x:c r="T126" s="29" t="str"/>
      <x:c r="U126" s="32" t="str"/>
      <x:c r="V126" s="23" t="str">
        <x:v>Current module source and production handoff</x:v>
      </x:c>
      <x:c r="W126" s="23" t="str">
        <x:v>Not Run</x:v>
      </x:c>
      <x:c r="X126" s="23" t="str">
        <x:v>Not Run</x:v>
      </x:c>
      <x:c r="Y126" s="23" t="str">
        <x:v>Not Run</x:v>
      </x:c>
      <x:c r="Z126" s="23" t="str">
        <x:v>Not Run</x:v>
      </x:c>
      <x:c r="AA126" s="23" t="str">
        <x:v>Not Run</x:v>
      </x:c>
      <x:c r="AB126" s="23" t="str"/>
    </x:row>
    <x:row r="127">
      <x:c r="A127" s="23" t="str">
        <x:v>PAY-003</x:v>
      </x:c>
      <x:c r="B127" s="23" t="str">
        <x:v>W17 Payroll</x:v>
      </x:c>
      <x:c r="C127" s="26" t="n">
        <x:v>122</x:v>
      </x:c>
      <x:c r="D127" s="23" t="str">
        <x:v>Payroll Inputs</x:v>
      </x:c>
      <x:c r="E127" s="23" t="str">
        <x:v>/hr/payroll?tab=components; /hr/payroll?tab=tax; /hr/payroll?tab=deductions</x:v>
      </x:c>
      <x:c r="F127" s="23" t="str">
        <x:v>Payroll Configuration Administrator</x:v>
      </x:c>
      <x:c r="G127" s="23" t="str">
        <x:v>Salary component, tax, and recurring deduction setup lacks a coherent sequence and effective-date guidance.</x:v>
      </x:c>
      <x:c r="H127" s="23" t="str">
        <x:v>Add setup progress, server-capability actions, active/inactive states, overlap warnings, and truthful availability labels. Use pages for multi-field configuration and dialogs only for short actions.</x:v>
      </x:c>
      <x:c r="I127" s="23" t="str">
        <x:v>UX/UI and implementation</x:v>
      </x:c>
      <x:c r="J127" s="23" t="str">
        <x:v>P1</x:v>
      </x:c>
      <x:c r="K127" s="23" t="str">
        <x:v>PAY-001</x:v>
      </x:c>
      <x:c r="L127" s="23" t="str">
        <x:v>A normal user can configure every required input without API-only steps, and inactive or overlapping data cannot silently enter calculation.</x:v>
      </x:c>
      <x:c r="M127" s="23" t="str">
        <x:v>Not Run - component tests and API effective-date/permission matrix.</x:v>
      </x:c>
      <x:c r="N127" s="23" t="str">
        <x:v>Implemented / improvement needed</x:v>
      </x:c>
      <x:c r="O127" s="23" t="str">
        <x:v>Backlog</x:v>
      </x:c>
      <x:c r="P127" s="23" t="str">
        <x:v>Not Run</x:v>
      </x:c>
      <x:c r="Q127" s="23" t="str">
        <x:v>Not Run</x:v>
      </x:c>
      <x:c r="R127" s="23" t="str">
        <x:v>Not Run</x:v>
      </x:c>
      <x:c r="S127" s="23" t="str">
        <x:v>Backlog</x:v>
      </x:c>
      <x:c r="T127" s="29" t="str"/>
      <x:c r="U127" s="32" t="str"/>
      <x:c r="V127" s="23" t="str">
        <x:v>Current module source and production handoff</x:v>
      </x:c>
      <x:c r="W127" s="23" t="str">
        <x:v>Not Run</x:v>
      </x:c>
      <x:c r="X127" s="23" t="str">
        <x:v>Not Run</x:v>
      </x:c>
      <x:c r="Y127" s="23" t="str">
        <x:v>Not Run</x:v>
      </x:c>
      <x:c r="Z127" s="23" t="str">
        <x:v>Not Run</x:v>
      </x:c>
      <x:c r="AA127" s="23" t="str">
        <x:v>Not Run</x:v>
      </x:c>
      <x:c r="AB127" s="23" t="str"/>
    </x:row>
    <x:row r="128">
      <x:c r="A128" s="23" t="str">
        <x:v>PAY-004</x:v>
      </x:c>
      <x:c r="B128" s="23" t="str">
        <x:v>W17 Payroll</x:v>
      </x:c>
      <x:c r="C128" s="26" t="n">
        <x:v>123</x:v>
      </x:c>
      <x:c r="D128" s="23" t="str">
        <x:v>Employee Salary</x:v>
      </x:c>
      <x:c r="E128" s="23" t="str">
        <x:v>/hr/payroll/employees/[employeeId]/salary/new; Employee Salary history</x:v>
      </x:c>
      <x:c r="F128" s="23" t="str">
        <x:v>Payroll Administrator</x:v>
      </x:c>
      <x:c r="G128" s="23" t="str">
        <x:v>A multi-line Employee salary revision is created in a drawer.</x:v>
      </x:c>
      <x:c r="H128" s="23" t="str">
        <x:v>Move salary revision creation to a full page with Employee and Company context, component lines, gross/deduction/net preview, effective-date validation, and a link back to history.</x:v>
      </x:c>
      <x:c r="I128" s="23" t="str">
        <x:v>UX/UI and implementation</x:v>
      </x:c>
      <x:c r="J128" s="23" t="str">
        <x:v>P1</x:v>
      </x:c>
      <x:c r="K128" s="23" t="str">
        <x:v>PAY-003</x:v>
      </x:c>
      <x:c r="L128" s="23" t="str">
        <x:v>A valid revision saves once, overlap or foreign Employee/component input fails safely, and current and historical revisions remain distinct.</x:v>
      </x:c>
      <x:c r="M128" s="23" t="str">
        <x:v>Not Run - component, API, browser, and direct-ID negative tests.</x:v>
      </x:c>
      <x:c r="N128" s="23" t="str">
        <x:v>Implemented / improvement needed</x:v>
      </x:c>
      <x:c r="O128" s="23" t="str">
        <x:v>Backlog</x:v>
      </x:c>
      <x:c r="P128" s="23" t="str">
        <x:v>Not Run</x:v>
      </x:c>
      <x:c r="Q128" s="23" t="str">
        <x:v>Not Run</x:v>
      </x:c>
      <x:c r="R128" s="23" t="str">
        <x:v>Not Run</x:v>
      </x:c>
      <x:c r="S128" s="23" t="str">
        <x:v>Backlog</x:v>
      </x:c>
      <x:c r="T128" s="29" t="str"/>
      <x:c r="U128" s="32" t="str"/>
      <x:c r="V128" s="23" t="str">
        <x:v>Current module source and production handoff</x:v>
      </x:c>
      <x:c r="W128" s="23" t="str">
        <x:v>Not Run</x:v>
      </x:c>
      <x:c r="X128" s="23" t="str">
        <x:v>Not Run</x:v>
      </x:c>
      <x:c r="Y128" s="23" t="str">
        <x:v>Not Run</x:v>
      </x:c>
      <x:c r="Z128" s="23" t="str">
        <x:v>Not Run</x:v>
      </x:c>
      <x:c r="AA128" s="23" t="str">
        <x:v>Not Run</x:v>
      </x:c>
      <x:c r="AB128" s="23" t="str"/>
    </x:row>
    <x:row r="129">
      <x:c r="A129" s="23" t="str">
        <x:v>PAY-005</x:v>
      </x:c>
      <x:c r="B129" s="23" t="str">
        <x:v>W17 Payroll</x:v>
      </x:c>
      <x:c r="C129" s="26" t="n">
        <x:v>124</x:v>
      </x:c>
      <x:c r="D129" s="23" t="str">
        <x:v>Payroll Run Detail</x:v>
      </x:c>
      <x:c r="E129" s="23" t="str">
        <x:v>/hr/payroll/runs/[id]</x:v>
      </x:c>
      <x:c r="F129" s="23" t="str">
        <x:v>Payroll Maker, Payroll Approver</x:v>
      </x:c>
      <x:c r="G129" s="23" t="str">
        <x:v>Calculation state, immutable snapshots, Employee details, and adjustment/recalculation flow are hard to review.</x:v>
      </x:c>
      <x:c r="H129" s="23" t="str">
        <x:v>Add a Draft, Calculated, Approved, Paid, and Payslips stepper; immutable snapshot notice; Employee drill-down; blocker/warning summary; version history; and explicit adjustment/return-to-draft/recalculate guidance.</x:v>
      </x:c>
      <x:c r="I129" s="23" t="str">
        <x:v>UX/UI and workflow</x:v>
      </x:c>
      <x:c r="J129" s="23" t="str">
        <x:v>P1</x:v>
      </x:c>
      <x:c r="K129" s="23" t="str">
        <x:v>PAY-002,PAY-004</x:v>
      </x:c>
      <x:c r="L129" s="23" t="str">
        <x:v>Totals reconcile to Employee rows, post-calculation source changes do not rewrite the snapshot, and return-to-draft/recalculate is explicit and audited.</x:v>
      </x:c>
      <x:c r="M129" s="23" t="str">
        <x:v>Not Run - calculation reconciliation, lifecycle API tests, and two-person browser review.</x:v>
      </x:c>
      <x:c r="N129" s="23" t="str">
        <x:v>Implemented / improvement needed</x:v>
      </x:c>
      <x:c r="O129" s="23" t="str">
        <x:v>Backlog</x:v>
      </x:c>
      <x:c r="P129" s="23" t="str">
        <x:v>Not Run</x:v>
      </x:c>
      <x:c r="Q129" s="23" t="str">
        <x:v>Not Run</x:v>
      </x:c>
      <x:c r="R129" s="23" t="str">
        <x:v>Not Run</x:v>
      </x:c>
      <x:c r="S129" s="23" t="str">
        <x:v>Backlog</x:v>
      </x:c>
      <x:c r="T129" s="29" t="str"/>
      <x:c r="U129" s="32" t="str"/>
      <x:c r="V129" s="23" t="str">
        <x:v>Current module source and production handoff</x:v>
      </x:c>
      <x:c r="W129" s="23" t="str">
        <x:v>Not Run</x:v>
      </x:c>
      <x:c r="X129" s="23" t="str">
        <x:v>Not Run</x:v>
      </x:c>
      <x:c r="Y129" s="23" t="str">
        <x:v>Not Run</x:v>
      </x:c>
      <x:c r="Z129" s="23" t="str">
        <x:v>Not Run</x:v>
      </x:c>
      <x:c r="AA129" s="23" t="str">
        <x:v>Not Run</x:v>
      </x:c>
      <x:c r="AB129" s="23" t="str"/>
    </x:row>
    <x:row r="130">
      <x:c r="A130" s="23" t="str">
        <x:v>PAY-006</x:v>
      </x:c>
      <x:c r="B130" s="23" t="str">
        <x:v>W17 Payroll</x:v>
      </x:c>
      <x:c r="C130" s="26" t="n">
        <x:v>125</x:v>
      </x:c>
      <x:c r="D130" s="23" t="str">
        <x:v>Payroll Payment and Finance Seam</x:v>
      </x:c>
      <x:c r="E130" s="23" t="str">
        <x:v>/hr/payroll/runs/[id]</x:v>
      </x:c>
      <x:c r="F130" s="23" t="str">
        <x:v>Independent Payroll Approver, Payment Operator</x:v>
      </x:c>
      <x:c r="G130" s="23" t="str">
        <x:v>Mark Paid is high risk and its Finance consequence is not prominent enough.</x:v>
      </x:c>
      <x:c r="H130" s="23" t="str">
        <x:v>Show maker-checker identities, payment account/date, protected reference, one aggregate Finance Expense preview, final confirmation, and input-preserving conflict recovery. Clear the sensitive reference after success.</x:v>
      </x:c>
      <x:c r="I130" s="23" t="str">
        <x:v>UX/UI and workflow</x:v>
      </x:c>
      <x:c r="J130" s="23" t="str">
        <x:v>P0</x:v>
      </x:c>
      <x:c r="K130" s="23" t="str">
        <x:v>PAY-005,FIN-004</x:v>
      </x:c>
      <x:c r="L130" s="23" t="str">
        <x:v>The Maker cannot approve, concurrent Mark Paid attempts create one Paid Run and one Finance transaction, no Employee salary detail enters Finance, and the reference is not retained client-side.</x:v>
      </x:c>
      <x:c r="M130" s="23" t="str">
        <x:v>Not Run - real PostgreSQL concurrency, API personas, browser flow, and browser/network storage review.</x:v>
      </x:c>
      <x:c r="N130" s="23" t="str">
        <x:v>Implemented / improvement needed</x:v>
      </x:c>
      <x:c r="O130" s="23" t="str">
        <x:v>Backlog</x:v>
      </x:c>
      <x:c r="P130" s="23" t="str">
        <x:v>Not Run</x:v>
      </x:c>
      <x:c r="Q130" s="23" t="str">
        <x:v>Not Run</x:v>
      </x:c>
      <x:c r="R130" s="23" t="str">
        <x:v>Not Run</x:v>
      </x:c>
      <x:c r="S130" s="23" t="str">
        <x:v>Backlog</x:v>
      </x:c>
      <x:c r="T130" s="29" t="str"/>
      <x:c r="U130" s="32" t="str"/>
      <x:c r="V130" s="23" t="str">
        <x:v>Current module source and production handoff</x:v>
      </x:c>
      <x:c r="W130" s="23" t="str">
        <x:v>Not Run</x:v>
      </x:c>
      <x:c r="X130" s="23" t="str">
        <x:v>Not Run</x:v>
      </x:c>
      <x:c r="Y130" s="23" t="str">
        <x:v>Not Run</x:v>
      </x:c>
      <x:c r="Z130" s="23" t="str">
        <x:v>Not Run</x:v>
      </x:c>
      <x:c r="AA130" s="23" t="str">
        <x:v>Not Run</x:v>
      </x:c>
      <x:c r="AB130" s="23" t="str"/>
    </x:row>
    <x:row r="131">
      <x:c r="A131" s="23" t="str">
        <x:v>PAY-007</x:v>
      </x:c>
      <x:c r="B131" s="23" t="str">
        <x:v>W17 Payroll</x:v>
      </x:c>
      <x:c r="C131" s="26" t="n">
        <x:v>126</x:v>
      </x:c>
      <x:c r="D131" s="23" t="str">
        <x:v>Payslip Operations</x:v>
      </x:c>
      <x:c r="E131" s="23" t="str">
        <x:v>/hr/payroll?tab=payslip-operations</x:v>
      </x:c>
      <x:c r="F131" s="23" t="str">
        <x:v>Payroll Operator</x:v>
      </x:c>
      <x:c r="G131" s="23" t="str">
        <x:v>Pending, stale, failed, and dead-lettered Payslip generation lacks sufficient recovery guidance.</x:v>
      </x:c>
      <x:c r="H131" s="23" t="str">
        <x:v>Show lease/attempt age, safe failure code, current owner, retry eligibility, mandatory reason, and reconciliation result. Prohibit retry while another worker owns an active lease.</x:v>
      </x:c>
      <x:c r="I131" s="23" t="str">
        <x:v>Backend hardening</x:v>
      </x:c>
      <x:c r="J131" s="23" t="str">
        <x:v>P1</x:v>
      </x:c>
      <x:c r="K131" s="23" t="str">
        <x:v>PAY-006,OBS-001</x:v>
      </x:c>
      <x:c r="L131" s="23" t="str">
        <x:v>A crash or expired lease is recoverable, duplicate workers produce one File Object, dead letters alert operations, and retry follows server allowedActions.</x:v>
      </x:c>
      <x:c r="M131" s="23" t="str">
        <x:v>Not Run - provider-backed worker crash, duplicate delivery, retry, orphan compensation, and dead-letter tests.</x:v>
      </x:c>
      <x:c r="N131" s="23" t="str">
        <x:v>Implemented / improvement needed</x:v>
      </x:c>
      <x:c r="O131" s="23" t="str">
        <x:v>Backlog</x:v>
      </x:c>
      <x:c r="P131" s="23" t="str">
        <x:v>Not Run</x:v>
      </x:c>
      <x:c r="Q131" s="23" t="str">
        <x:v>Not Run</x:v>
      </x:c>
      <x:c r="R131" s="23" t="str">
        <x:v>Not Run</x:v>
      </x:c>
      <x:c r="S131" s="23" t="str">
        <x:v>Backlog</x:v>
      </x:c>
      <x:c r="T131" s="29" t="str"/>
      <x:c r="U131" s="32" t="str"/>
      <x:c r="V131" s="23" t="str">
        <x:v>Current module source and production handoff</x:v>
      </x:c>
      <x:c r="W131" s="23" t="str">
        <x:v>Not Run</x:v>
      </x:c>
      <x:c r="X131" s="23" t="str">
        <x:v>Not Run</x:v>
      </x:c>
      <x:c r="Y131" s="23" t="str">
        <x:v>Not Run</x:v>
      </x:c>
      <x:c r="Z131" s="23" t="str">
        <x:v>Not Run</x:v>
      </x:c>
      <x:c r="AA131" s="23" t="str">
        <x:v>Not Run</x:v>
      </x:c>
      <x:c r="AB131" s="23" t="str"/>
    </x:row>
    <x:row r="132">
      <x:c r="A132" s="23" t="str">
        <x:v>PAY-008</x:v>
      </x:c>
      <x:c r="B132" s="23" t="str">
        <x:v>W17 Payroll</x:v>
      </x:c>
      <x:c r="C132" s="26" t="n">
        <x:v>127</x:v>
      </x:c>
      <x:c r="D132" s="23" t="str">
        <x:v>Employee Payslips</x:v>
      </x:c>
      <x:c r="E132" s="23" t="str">
        <x:v>/my-workspace/payslips; My Workspace link</x:v>
      </x:c>
      <x:c r="F132" s="23" t="str">
        <x:v>Employee</x:v>
      </x:c>
      <x:c r="G132" s="23" t="str">
        <x:v>Payslips are embedded in a mixed workspace, making generation failures and download availability easy to miss.</x:v>
      </x:c>
      <x:c r="H132" s="23" t="str">
        <x:v>Add a dedicated Payslips page with period, Run number, net amount, Pending/Generating/Failed/Available status guidance, and a fresh short-lived download action.</x:v>
      </x:c>
      <x:c r="I132" s="23" t="str">
        <x:v>UX/UI and workflow</x:v>
      </x:c>
      <x:c r="J132" s="23" t="str">
        <x:v>P1</x:v>
      </x:c>
      <x:c r="K132" s="23" t="str">
        <x:v>PAY-007</x:v>
      </x:c>
      <x:c r="L132" s="23" t="str">
        <x:v>An Employee sees only their own Payslips, a foreign direct ID returns safe not-found, an expired grant fails, and unavailable states have no download action.</x:v>
      </x:c>
      <x:c r="M132" s="23" t="str">
        <x:v>Not Run - Employee, other-Employee, and cross-tenant browser/network tests using private provider storage.</x:v>
      </x:c>
      <x:c r="N132" s="23" t="str">
        <x:v>Implemented / improvement needed</x:v>
      </x:c>
      <x:c r="O132" s="23" t="str">
        <x:v>Backlog</x:v>
      </x:c>
      <x:c r="P132" s="23" t="str">
        <x:v>Not Run</x:v>
      </x:c>
      <x:c r="Q132" s="23" t="str">
        <x:v>Not Run</x:v>
      </x:c>
      <x:c r="R132" s="23" t="str">
        <x:v>Not Run</x:v>
      </x:c>
      <x:c r="S132" s="23" t="str">
        <x:v>Backlog</x:v>
      </x:c>
      <x:c r="T132" s="29" t="str"/>
      <x:c r="U132" s="32" t="str"/>
      <x:c r="V132" s="23" t="str">
        <x:v>Current module source and production handoff</x:v>
      </x:c>
      <x:c r="W132" s="23" t="str">
        <x:v>Not Run</x:v>
      </x:c>
      <x:c r="X132" s="23" t="str">
        <x:v>Not Run</x:v>
      </x:c>
      <x:c r="Y132" s="23" t="str">
        <x:v>Not Run</x:v>
      </x:c>
      <x:c r="Z132" s="23" t="str">
        <x:v>Not Run</x:v>
      </x:c>
      <x:c r="AA132" s="23" t="str">
        <x:v>Not Run</x:v>
      </x:c>
      <x:c r="AB132" s="23" t="str"/>
    </x:row>
    <x:row r="133">
      <x:c r="A133" s="23" t="str">
        <x:v>DEL-001</x:v>
      </x:c>
      <x:c r="B133" s="23" t="str">
        <x:v>W18 Operations</x:v>
      </x:c>
      <x:c r="C133" s="26" t="n">
        <x:v>128</x:v>
      </x:c>
      <x:c r="D133" s="23" t="str">
        <x:v>Delivery Queue</x:v>
      </x:c>
      <x:c r="E133" s="23" t="str">
        <x:v>/admin/operations/delivery; /admin/operations/delivery/[id]</x:v>
      </x:c>
      <x:c r="F133" s="23" t="str">
        <x:v>Platform Delivery Operator</x:v>
      </x:c>
      <x:c r="G133" s="23" t="str">
        <x:v>Queue and detail views lack complete scalable filtering and clear provider-state explanation.</x:v>
      </x:c>
      <x:c r="H133" s="23" t="str">
        <x:v>Add server filters/paging for status, channel, event, Company, and date; show a masked recipient, attempt/provider timeline, version, related record, and accepted-versus-delivered wording.</x:v>
      </x:c>
      <x:c r="I133" s="23" t="str">
        <x:v>UX/UI and workflow</x:v>
      </x:c>
      <x:c r="J133" s="23" t="str">
        <x:v>P1</x:v>
      </x:c>
      <x:c r="K133" s="23" t="str">
        <x:v>CFG-002,ENV-002</x:v>
      </x:c>
      <x:c r="L133" s="23" t="str">
        <x:v>A large queue is navigable, provider evidence and UI agree, and ordinary HR or a foreign tenant cannot access platform details.</x:v>
      </x:c>
      <x:c r="M133" s="23" t="str">
        <x:v>Not Run - API paging, provider sandbox, operator persona, unauthorized persona, and cross-tenant tests.</x:v>
      </x:c>
      <x:c r="N133" s="23" t="str">
        <x:v>Implemented / improvement needed</x:v>
      </x:c>
      <x:c r="O133" s="23" t="str">
        <x:v>Backlog</x:v>
      </x:c>
      <x:c r="P133" s="23" t="str">
        <x:v>Not Run</x:v>
      </x:c>
      <x:c r="Q133" s="23" t="str">
        <x:v>Not Run</x:v>
      </x:c>
      <x:c r="R133" s="23" t="str">
        <x:v>Not Run</x:v>
      </x:c>
      <x:c r="S133" s="23" t="str">
        <x:v>Backlog</x:v>
      </x:c>
      <x:c r="T133" s="29" t="str"/>
      <x:c r="U133" s="32" t="str"/>
      <x:c r="V133" s="23" t="str">
        <x:v>Current module source and production handoff</x:v>
      </x:c>
      <x:c r="W133" s="23" t="str">
        <x:v>Not Run</x:v>
      </x:c>
      <x:c r="X133" s="23" t="str">
        <x:v>Not Run</x:v>
      </x:c>
      <x:c r="Y133" s="23" t="str">
        <x:v>Not Run</x:v>
      </x:c>
      <x:c r="Z133" s="23" t="str">
        <x:v>Not Run</x:v>
      </x:c>
      <x:c r="AA133" s="23" t="str">
        <x:v>Not Run</x:v>
      </x:c>
      <x:c r="AB133" s="23" t="str"/>
    </x:row>
    <x:row r="134">
      <x:c r="A134" s="23" t="str">
        <x:v>DEL-002</x:v>
      </x:c>
      <x:c r="B134" s="23" t="str">
        <x:v>W18 Operations</x:v>
      </x:c>
      <x:c r="C134" s="26" t="n">
        <x:v>129</x:v>
      </x:c>
      <x:c r="D134" s="23" t="str">
        <x:v>Delivery Actions</x:v>
      </x:c>
      <x:c r="E134" s="23" t="str">
        <x:v>Delivery list, detail, and dead letters</x:v>
      </x:c>
      <x:c r="F134" s="23" t="str">
        <x:v>Platform Delivery Operator</x:v>
      </x:c>
      <x:c r="G134" s="23" t="str">
        <x:v>Retry and Cancel use browser prompts, which provide poor accessibility and weak conflict recovery.</x:v>
      </x:c>
      <x:c r="H134" s="23" t="str">
        <x:v>Replace prompts with accessible reason dialogs, show only server actions, preserve the reason on 409, refetch the version, guard repeated clicks, and show the committed attempt.</x:v>
      </x:c>
      <x:c r="I134" s="23" t="str">
        <x:v>UX/UI and implementation</x:v>
      </x:c>
      <x:c r="J134" s="23" t="str">
        <x:v>P1</x:v>
      </x:c>
      <x:c r="K134" s="23" t="str">
        <x:v>DEL-001,UX-05</x:v>
      </x:c>
      <x:c r="L134" s="23" t="str">
        <x:v>Keyboard and focus restoration pass, empty reasons are blocked, repeated action creates one logical command, and stale actions preserve input.</x:v>
      </x:c>
      <x:c r="M134" s="23" t="str">
        <x:v>Not Run - component, two-session browser, accessibility, and idempotency tests.</x:v>
      </x:c>
      <x:c r="N134" s="23" t="str">
        <x:v>Implemented / improvement needed</x:v>
      </x:c>
      <x:c r="O134" s="23" t="str">
        <x:v>Backlog</x:v>
      </x:c>
      <x:c r="P134" s="23" t="str">
        <x:v>Not Run</x:v>
      </x:c>
      <x:c r="Q134" s="23" t="str">
        <x:v>Not Run</x:v>
      </x:c>
      <x:c r="R134" s="23" t="str">
        <x:v>Not Run</x:v>
      </x:c>
      <x:c r="S134" s="23" t="str">
        <x:v>Backlog</x:v>
      </x:c>
      <x:c r="T134" s="29" t="str"/>
      <x:c r="U134" s="32" t="str"/>
      <x:c r="V134" s="23" t="str">
        <x:v>Current module source and production handoff</x:v>
      </x:c>
      <x:c r="W134" s="23" t="str">
        <x:v>Not Run</x:v>
      </x:c>
      <x:c r="X134" s="23" t="str">
        <x:v>Not Run</x:v>
      </x:c>
      <x:c r="Y134" s="23" t="str">
        <x:v>Not Run</x:v>
      </x:c>
      <x:c r="Z134" s="23" t="str">
        <x:v>Not Run</x:v>
      </x:c>
      <x:c r="AA134" s="23" t="str">
        <x:v>Not Run</x:v>
      </x:c>
      <x:c r="AB134" s="23" t="str"/>
    </x:row>
    <x:row r="135">
      <x:c r="A135" s="23" t="str">
        <x:v>DEL-003</x:v>
      </x:c>
      <x:c r="B135" s="23" t="str">
        <x:v>W18 Operations</x:v>
      </x:c>
      <x:c r="C135" s="26" t="n">
        <x:v>130</x:v>
      </x:c>
      <x:c r="D135" s="23" t="str">
        <x:v>Delivery Recovery</x:v>
      </x:c>
      <x:c r="E135" s="23" t="str">
        <x:v>/admin/operations/delivery/dead-letters; /admin/operations/delivery/suppressions; /admin/operations/delivery/recipient-exceptions</x:v>
      </x:c>
      <x:c r="F135" s="23" t="str">
        <x:v>Delivery Operator, Security</x:v>
      </x:c>
      <x:c r="G135" s="23" t="str">
        <x:v>Dead-letter, suppression, and recipient-exception recovery is fragmented and can obscure the required underlying correction.</x:v>
      </x:c>
      <x:c r="H135" s="23" t="str">
        <x:v>Add safe cause, remediation, owner, masked identifier, audit history, mandatory reason, correction checklist, and post-resolution retry link.</x:v>
      </x:c>
      <x:c r="I135" s="23" t="str">
        <x:v>UX/UI and workflow</x:v>
      </x:c>
      <x:c r="J135" s="23" t="str">
        <x:v>P1</x:v>
      </x:c>
      <x:c r="K135" s="23" t="str">
        <x:v>DEL-001,DEL-002</x:v>
      </x:c>
      <x:c r="L135" s="23" t="str">
        <x:v>No plaintext recipient or content leaks, release/resolve is authorized and audited, and retry remains unavailable until correction is acknowledged.</x:v>
      </x:c>
      <x:c r="M135" s="23" t="str">
        <x:v>Not Run - operator, unauthorized, and cross-tenant browser/API recovery tests.</x:v>
      </x:c>
      <x:c r="N135" s="23" t="str">
        <x:v>Implemented / improvement needed</x:v>
      </x:c>
      <x:c r="O135" s="23" t="str">
        <x:v>Backlog</x:v>
      </x:c>
      <x:c r="P135" s="23" t="str">
        <x:v>Not Run</x:v>
      </x:c>
      <x:c r="Q135" s="23" t="str">
        <x:v>Not Run</x:v>
      </x:c>
      <x:c r="R135" s="23" t="str">
        <x:v>Not Run</x:v>
      </x:c>
      <x:c r="S135" s="23" t="str">
        <x:v>Backlog</x:v>
      </x:c>
      <x:c r="T135" s="29" t="str"/>
      <x:c r="U135" s="32" t="str"/>
      <x:c r="V135" s="23" t="str">
        <x:v>Current module source and production handoff</x:v>
      </x:c>
      <x:c r="W135" s="23" t="str">
        <x:v>Not Run</x:v>
      </x:c>
      <x:c r="X135" s="23" t="str">
        <x:v>Not Run</x:v>
      </x:c>
      <x:c r="Y135" s="23" t="str">
        <x:v>Not Run</x:v>
      </x:c>
      <x:c r="Z135" s="23" t="str">
        <x:v>Not Run</x:v>
      </x:c>
      <x:c r="AA135" s="23" t="str">
        <x:v>Not Run</x:v>
      </x:c>
      <x:c r="AB135" s="23" t="str"/>
    </x:row>
    <x:row r="136">
      <x:c r="A136" s="23" t="str">
        <x:v>FILE-001</x:v>
      </x:c>
      <x:c r="B136" s="23" t="str">
        <x:v>W18 Operations</x:v>
      </x:c>
      <x:c r="C136" s="26" t="n">
        <x:v>131</x:v>
      </x:c>
      <x:c r="D136" s="23" t="str">
        <x:v>File Operations</x:v>
      </x:c>
      <x:c r="E136" s="23" t="str">
        <x:v>/administration/operations/files</x:v>
      </x:c>
      <x:c r="F136" s="23" t="str">
        <x:v>File Operations Owner</x:v>
      </x:c>
      <x:c r="G136" s="23" t="str">
        <x:v>The screen mainly shows counters and directs users to support instead of providing a safe operational workflow.</x:v>
      </x:c>
      <x:c r="H136" s="23" t="str">
        <x:v>Add scoped exception lists and drill-down for scan failures, missing objects, retryable attempts, and deletion dead letters. Add a capability-gated reconciliation preview and reasoned operation with a correlation ID. Never expose object keys or raw provider payloads.</x:v>
      </x:c>
      <x:c r="I136" s="23" t="str">
        <x:v>UX/UI and workflow</x:v>
      </x:c>
      <x:c r="J136" s="23" t="str">
        <x:v>P1</x:v>
      </x:c>
      <x:c r="K136" s="23" t="str">
        <x:v>ENV-002,OBS-001</x:v>
      </x:c>
      <x:c r="L136" s="23" t="str">
        <x:v>An operator can identify and reconcile a synthetic orphan, valid linked objects remain untouched, ordinary users are denied, and no production object deletion is used as a test.</x:v>
      </x:c>
      <x:c r="M136" s="23" t="str">
        <x:v>Not Run - provider-backed isolated-bucket tests and read-only database reconciliation.</x:v>
      </x:c>
      <x:c r="N136" s="23" t="str">
        <x:v>Implemented / improvement needed</x:v>
      </x:c>
      <x:c r="O136" s="23" t="str">
        <x:v>Backlog</x:v>
      </x:c>
      <x:c r="P136" s="23" t="str">
        <x:v>Not Run</x:v>
      </x:c>
      <x:c r="Q136" s="23" t="str">
        <x:v>Not Run</x:v>
      </x:c>
      <x:c r="R136" s="23" t="str">
        <x:v>Not Run</x:v>
      </x:c>
      <x:c r="S136" s="23" t="str">
        <x:v>Backlog</x:v>
      </x:c>
      <x:c r="T136" s="29" t="str"/>
      <x:c r="U136" s="32" t="str"/>
      <x:c r="V136" s="23" t="str">
        <x:v>Current module source and production handoff</x:v>
      </x:c>
      <x:c r="W136" s="23" t="str">
        <x:v>Not Run</x:v>
      </x:c>
      <x:c r="X136" s="23" t="str">
        <x:v>Not Run</x:v>
      </x:c>
      <x:c r="Y136" s="23" t="str">
        <x:v>Not Run</x:v>
      </x:c>
      <x:c r="Z136" s="23" t="str">
        <x:v>Not Run</x:v>
      </x:c>
      <x:c r="AA136" s="23" t="str">
        <x:v>Not Run</x:v>
      </x:c>
      <x:c r="AB136" s="23" t="str"/>
    </x:row>
    <x:row r="137">
      <x:c r="A137" s="23" t="str">
        <x:v>RET-001</x:v>
      </x:c>
      <x:c r="B137" s="23" t="str">
        <x:v>W18 Operations</x:v>
      </x:c>
      <x:c r="C137" s="26" t="n">
        <x:v>132</x:v>
      </x:c>
      <x:c r="D137" s="23" t="str">
        <x:v>Document Retention</x:v>
      </x:c>
      <x:c r="E137" s="23" t="str">
        <x:v>/settings/security/document-retention</x:v>
      </x:c>
      <x:c r="F137" s="23" t="str">
        <x:v>Retention Author, Independent Approver, Security</x:v>
      </x:c>
      <x:c r="G137" s="23" t="str">
        <x:v>Retention Rule is free text, one permission can save and approve, and there is no safe preview before purge.</x:v>
      </x:c>
      <x:c r="H137" s="23" t="str">
        <x:v>Use typed rule/unit controls, range validation, expected version, Draft/Approved history, and separate approval authority. Add a dry-run impact report. Keep purge disabled during UAT and never purge shared or production data as a test.</x:v>
      </x:c>
      <x:c r="I137" s="23" t="str">
        <x:v>UX/UI and workflow</x:v>
      </x:c>
      <x:c r="J137" s="23" t="str">
        <x:v>P1</x:v>
      </x:c>
      <x:c r="K137" s="23" t="str">
        <x:v>FILE-001,REL-002</x:v>
      </x:c>
      <x:c r="L137" s="23" t="str">
        <x:v>Invalid policies cannot save, authors cannot self-approve, concurrent edits conflict safely, legal holds and linked files are excluded, and dry-run counts reconcile.</x:v>
      </x:c>
      <x:c r="M137" s="23" t="str">
        <x:v>Not Run - DTO/service tests and isolated metadata dry-run only; no destructive production test.</x:v>
      </x:c>
      <x:c r="N137" s="23" t="str">
        <x:v>Implemented / gated</x:v>
      </x:c>
      <x:c r="O137" s="23" t="str">
        <x:v>Backlog</x:v>
      </x:c>
      <x:c r="P137" s="23" t="str">
        <x:v>Not Run</x:v>
      </x:c>
      <x:c r="Q137" s="23" t="str">
        <x:v>Not Run</x:v>
      </x:c>
      <x:c r="R137" s="23" t="str">
        <x:v>Not Run</x:v>
      </x:c>
      <x:c r="S137" s="23" t="str">
        <x:v>Backlog</x:v>
      </x:c>
      <x:c r="T137" s="29" t="str"/>
      <x:c r="U137" s="32" t="str"/>
      <x:c r="V137" s="23" t="str">
        <x:v>Current module source and production handoff</x:v>
      </x:c>
      <x:c r="W137" s="23" t="str">
        <x:v>Not Run</x:v>
      </x:c>
      <x:c r="X137" s="23" t="str">
        <x:v>Not Run</x:v>
      </x:c>
      <x:c r="Y137" s="23" t="str">
        <x:v>Not Run</x:v>
      </x:c>
      <x:c r="Z137" s="23" t="str">
        <x:v>Not Run</x:v>
      </x:c>
      <x:c r="AA137" s="23" t="str">
        <x:v>Not Run</x:v>
      </x:c>
      <x:c r="AB137" s="23" t="str"/>
    </x:row>
    <x:row r="138">
      <x:c r="A138" s="23" t="str">
        <x:v>DEF-001</x:v>
      </x:c>
      <x:c r="B138" s="23" t="str">
        <x:v>W19 Acceptance</x:v>
      </x:c>
      <x:c r="C138" s="26" t="n">
        <x:v>133</x:v>
      </x:c>
      <x:c r="D138" s="23" t="str">
        <x:v>Defect and Retest</x:v>
      </x:c>
      <x:c r="E138" s="23" t="str">
        <x:v>All modules</x:v>
      </x:c>
      <x:c r="F138" s="23" t="str">
        <x:v>QA Lead, Developer, Module Owner</x:v>
      </x:c>
      <x:c r="G138" s="23" t="str">
        <x:v>A workflow defect can be closed using code evidence without proving the corrected browser and business flow.</x:v>
      </x:c>
      <x:c r="H138" s="23" t="str">
        <x:v>Track severity, module, route, role, SHA, steps, expected/actual, safe evidence, owner, and linked fix. After a fix, deploy a new frozen SHA and retest the failed step, preceding/following step, permission/tenant negative, and final golden thread.</x:v>
      </x:c>
      <x:c r="I138" s="23" t="str">
        <x:v>Defect management</x:v>
      </x:c>
      <x:c r="J138" s="23" t="str">
        <x:v>P0</x:v>
      </x:c>
      <x:c r="K138" s="23" t="str">
        <x:v>QA-003</x:v>
      </x:c>
      <x:c r="L138" s="23" t="str">
        <x:v>No P0 or P1 remains open. Every P2 is fixed or formally accepted, and every closed defect has runtime evidence from the final SHA.</x:v>
      </x:c>
      <x:c r="M138" s="23" t="str">
        <x:v>Not Run - audit the defect register and execute the final golden-thread regression.</x:v>
      </x:c>
      <x:c r="N138" s="23" t="str">
        <x:v>Proposed control</x:v>
      </x:c>
      <x:c r="O138" s="23" t="str">
        <x:v>Not Run</x:v>
      </x:c>
      <x:c r="P138" s="23" t="str">
        <x:v>Not Run</x:v>
      </x:c>
      <x:c r="Q138" s="23" t="str">
        <x:v>Not Run</x:v>
      </x:c>
      <x:c r="R138" s="23" t="str">
        <x:v>Not Run</x:v>
      </x:c>
      <x:c r="S138" s="23" t="str">
        <x:v>Backlog</x:v>
      </x:c>
      <x:c r="T138" s="29" t="str"/>
      <x:c r="U138" s="32" t="str"/>
      <x:c r="V138" s="23" t="str">
        <x:v>Current module source and production handoff</x:v>
      </x:c>
      <x:c r="W138" s="23" t="str">
        <x:v>Not Run</x:v>
      </x:c>
      <x:c r="X138" s="23" t="str">
        <x:v>Not Run</x:v>
      </x:c>
      <x:c r="Y138" s="23" t="str">
        <x:v>Not Run</x:v>
      </x:c>
      <x:c r="Z138" s="23" t="str">
        <x:v>Not Run</x:v>
      </x:c>
      <x:c r="AA138" s="23" t="str">
        <x:v>Not Run</x:v>
      </x:c>
      <x:c r="AB138" s="23" t="str"/>
    </x:row>
    <x:row r="139">
      <x:c r="A139" s="23" t="str">
        <x:v>QA-001</x:v>
      </x:c>
      <x:c r="B139" s="23" t="str">
        <x:v>W19 Acceptance</x:v>
      </x:c>
      <x:c r="C139" s="26" t="n">
        <x:v>134</x:v>
      </x:c>
      <x:c r="D139" s="23" t="str">
        <x:v>Source and UI Gates</x:v>
      </x:c>
      <x:c r="E139" s="23" t="str">
        <x:v>All changed modules</x:v>
      </x:c>
      <x:c r="F139" s="23" t="str">
        <x:v>Engineering, QA</x:v>
      </x:c>
      <x:c r="G139" s="23" t="str">
        <x:v>Static and build checks do not prove UX, but runtime testing should not begin from a failing source baseline.</x:v>
      </x:c>
      <x:c r="H139" s="23" t="str">
        <x:v>From a clean checkout of the frozen SHA, run Prisma validate/generate, backend/frontend typecheck, lint, production builds, targeted unit/service tests, and component accessibility tests.</x:v>
      </x:c>
      <x:c r="I139" s="23" t="str">
        <x:v>Verification</x:v>
      </x:c>
      <x:c r="J139" s="23" t="str">
        <x:v>P0</x:v>
      </x:c>
      <x:c r="K139" s="23" t="str">
        <x:v>CFG-002,CFG-003,CFG-004,PRJ-007,TSH-005,FIN-005,PAY-008,DEL-003,FILE-001,RET-001</x:v>
      </x:c>
      <x:c r="L139" s="23" t="str">
        <x:v>Every required command exits zero, skips and warnings are listed honestly, and no unrelated auto-fix is included in the release evidence.</x:v>
      </x:c>
      <x:c r="M139" s="23" t="str">
        <x:v>Not Run - archive command logs, versions, and test reports tied to the frozen SHA.</x:v>
      </x:c>
      <x:c r="N139" s="23" t="str">
        <x:v>Proposed control</x:v>
      </x:c>
      <x:c r="O139" s="23" t="str">
        <x:v>Not Run</x:v>
      </x:c>
      <x:c r="P139" s="23" t="str">
        <x:v>Not Run</x:v>
      </x:c>
      <x:c r="Q139" s="23" t="str">
        <x:v>Not Run</x:v>
      </x:c>
      <x:c r="R139" s="23" t="str">
        <x:v>Not Run</x:v>
      </x:c>
      <x:c r="S139" s="23" t="str">
        <x:v>Backlog</x:v>
      </x:c>
      <x:c r="T139" s="29" t="str"/>
      <x:c r="U139" s="32" t="str"/>
      <x:c r="V139" s="23" t="str">
        <x:v>Current module source and production handoff</x:v>
      </x:c>
      <x:c r="W139" s="23" t="str">
        <x:v>Not Run</x:v>
      </x:c>
      <x:c r="X139" s="23" t="str">
        <x:v>Not Run</x:v>
      </x:c>
      <x:c r="Y139" s="23" t="str">
        <x:v>Not Run</x:v>
      </x:c>
      <x:c r="Z139" s="23" t="str">
        <x:v>Not Run</x:v>
      </x:c>
      <x:c r="AA139" s="23" t="str">
        <x:v>Not Run</x:v>
      </x:c>
      <x:c r="AB139" s="23" t="str"/>
    </x:row>
    <x:row r="140">
      <x:c r="A140" s="23" t="str">
        <x:v>QA-002</x:v>
      </x:c>
      <x:c r="B140" s="23" t="str">
        <x:v>W19 Acceptance</x:v>
      </x:c>
      <x:c r="C140" s="26" t="n">
        <x:v>135</x:v>
      </x:c>
      <x:c r="D140" s="23" t="str">
        <x:v>PostgreSQL and Concurrency</x:v>
      </x:c>
      <x:c r="E140" s="23" t="str">
        <x:v>Project, Timesheet, Finance, Payroll, and File services</x:v>
      </x:c>
      <x:c r="F140" s="23" t="str">
        <x:v>DBA, Backend QA</x:v>
      </x:c>
      <x:c r="G140" s="23" t="str">
        <x:v>In-memory and mocked tests cannot prove migrations, immutable history, idempotency, or race behavior.</x:v>
      </x:c>
      <x:c r="H140" s="23" t="str">
        <x:v>On a disposable target matching the production PostgreSQL version, run from-zero and production-like upgrade, preflights, catalog checks, Project hours/assignment races, Timesheet approval races, Finance approval/reversal/period races, Payroll calculate/approve/pay races, and Payslip lease/compensation cases.</x:v>
      </x:c>
      <x:c r="I140" s="23" t="str">
        <x:v>Verification</x:v>
      </x:c>
      <x:c r="J140" s="23" t="str">
        <x:v>P0</x:v>
      </x:c>
      <x:c r="K140" s="23" t="str">
        <x:v>REL-002,QA-001</x:v>
      </x:c>
      <x:c r="L140" s="23" t="str">
        <x:v>Every race has one deterministic committed outcome, no partial audit/outbox state remains, backup/restore reconciles, and no test touches production.</x:v>
      </x:c>
      <x:c r="M140" s="23" t="str">
        <x:v>Not Run - assert committed database state and catalog definitions on disposable PostgreSQL, not only HTTP responses.</x:v>
      </x:c>
      <x:c r="N140" s="23" t="str">
        <x:v>Proposed control</x:v>
      </x:c>
      <x:c r="O140" s="23" t="str">
        <x:v>Not Run</x:v>
      </x:c>
      <x:c r="P140" s="23" t="str">
        <x:v>Not Run</x:v>
      </x:c>
      <x:c r="Q140" s="23" t="str">
        <x:v>Not Run</x:v>
      </x:c>
      <x:c r="R140" s="23" t="str">
        <x:v>Not Run</x:v>
      </x:c>
      <x:c r="S140" s="23" t="str">
        <x:v>Backlog</x:v>
      </x:c>
      <x:c r="T140" s="29" t="str"/>
      <x:c r="U140" s="32" t="str"/>
      <x:c r="V140" s="23" t="str">
        <x:v>Current module source and production handoff</x:v>
      </x:c>
      <x:c r="W140" s="23" t="str">
        <x:v>Not Run</x:v>
      </x:c>
      <x:c r="X140" s="23" t="str">
        <x:v>Not Run</x:v>
      </x:c>
      <x:c r="Y140" s="23" t="str">
        <x:v>Not Run</x:v>
      </x:c>
      <x:c r="Z140" s="23" t="str">
        <x:v>Not Run</x:v>
      </x:c>
      <x:c r="AA140" s="23" t="str">
        <x:v>Not Run</x:v>
      </x:c>
      <x:c r="AB140" s="23" t="str"/>
    </x:row>
    <x:row r="141">
      <x:c r="A141" s="23" t="str">
        <x:v>QA-003</x:v>
      </x:c>
      <x:c r="B141" s="23" t="str">
        <x:v>W19 Acceptance</x:v>
      </x:c>
      <x:c r="C141" s="26" t="n">
        <x:v>136</x:v>
      </x:c>
      <x:c r="D141" s="23" t="str">
        <x:v>Real API, Browser, and Providers</x:v>
      </x:c>
      <x:c r="E141" s="23" t="str">
        <x:v>All scoped routes</x:v>
      </x:c>
      <x:c r="F141" s="23" t="str">
        <x:v>Named business and technical personas</x:v>
      </x:c>
      <x:c r="G141" s="23" t="str">
        <x:v>Passing source and database gates still does not prove real production-level browser, permission, tenant, provider, or accessibility behavior.</x:v>
      </x:c>
      <x:c r="H141" s="23" t="str">
        <x:v>With mocks and bypasses off, run authenticated API and Playwright/manual personas for the pilot, outsider, and Tenant B. Exercise sandbox email/webhook, private upload/download/scan/delete compensation, workers, desktop/mobile, keyboard, focus, and 200 percent zoom.</x:v>
      </x:c>
      <x:c r="I141" s="23" t="str">
        <x:v>Verification</x:v>
      </x:c>
      <x:c r="J141" s="23" t="str">
        <x:v>P0</x:v>
      </x:c>
      <x:c r="K141" s="23" t="str">
        <x:v>QA-001,QA-002,ENV-002</x:v>
      </x:c>
      <x:c r="L141" s="23" t="str">
        <x:v>Happy, negative, permission, tenant-isolation, and provider paths pass on one SHA. Unauthorized records are absent from network responses, and no public file URL appears.</x:v>
      </x:c>
      <x:c r="M141" s="23" t="str">
        <x:v>Not Run - collect safe screenshots, request IDs, provider receipts, and read-only database reconciliation from isolated UAT.</x:v>
      </x:c>
      <x:c r="N141" s="23" t="str">
        <x:v>Proposed control</x:v>
      </x:c>
      <x:c r="O141" s="23" t="str">
        <x:v>Not Run</x:v>
      </x:c>
      <x:c r="P141" s="23" t="str">
        <x:v>Not Run</x:v>
      </x:c>
      <x:c r="Q141" s="23" t="str">
        <x:v>Not Run</x:v>
      </x:c>
      <x:c r="R141" s="23" t="str">
        <x:v>Not Run</x:v>
      </x:c>
      <x:c r="S141" s="23" t="str">
        <x:v>Backlog</x:v>
      </x:c>
      <x:c r="T141" s="29" t="str"/>
      <x:c r="U141" s="32" t="str"/>
      <x:c r="V141" s="23" t="str">
        <x:v>Current module source and production handoff</x:v>
      </x:c>
      <x:c r="W141" s="23" t="str">
        <x:v>Not Run</x:v>
      </x:c>
      <x:c r="X141" s="23" t="str">
        <x:v>Not Run</x:v>
      </x:c>
      <x:c r="Y141" s="23" t="str">
        <x:v>Not Run</x:v>
      </x:c>
      <x:c r="Z141" s="23" t="str">
        <x:v>Not Run</x:v>
      </x:c>
      <x:c r="AA141" s="23" t="str">
        <x:v>Not Run</x:v>
      </x:c>
      <x:c r="AB141" s="23" t="str"/>
    </x:row>
    <x:row r="142">
      <x:c r="A142" s="23" t="str">
        <x:v>RLS-DOC-001</x:v>
      </x:c>
      <x:c r="B142" s="23" t="str">
        <x:v>W19 Acceptance</x:v>
      </x:c>
      <x:c r="C142" s="26" t="n">
        <x:v>137</x:v>
      </x:c>
      <x:c r="D142" s="23" t="str">
        <x:v>Documentation</x:v>
      </x:c>
      <x:c r="E142" s="23" t="str">
        <x:v>All scoped routes</x:v>
      </x:c>
      <x:c r="F142" s="23" t="str">
        <x:v>Technical Writer, Module Owners</x:v>
      </x:c>
      <x:c r="G142" s="23" t="str">
        <x:v>Existing guides contain stale pilot and non-empty allowlist statements and do not reflect the planned page-based workflows.</x:v>
      </x:c>
      <x:c r="H142" s="23" t="str">
        <x:v>Update DSP ERP English menu-plus-role guides for Projects, Timesheets, Finance, Payroll/Payslips, Delivery, Files, and Retention. Document empty-all semantics, explicit-pilot recommendation, statuses, permissions, page flows, recovery, limitations, and verification labels.</x:v>
      </x:c>
      <x:c r="I142" s="23" t="str">
        <x:v>Documentation</x:v>
      </x:c>
      <x:c r="J142" s="23" t="str">
        <x:v>P1</x:v>
      </x:c>
      <x:c r="K142" s="23" t="str">
        <x:v>CFG-001,DEF-001</x:v>
      </x:c>
      <x:c r="L142" s="23" t="str">
        <x:v>Routes and labels match the final SHA; Implemented, Partial, Role-restricted, Proposed, and Deferred are explicit; the reusable core contains no secrets or tenant-specific screenshots.</x:v>
      </x:c>
      <x:c r="M142" s="23" t="str">
        <x:v>Not Run - module owners walk through the final UI against the draft guides.</x:v>
      </x:c>
      <x:c r="N142" s="23" t="str">
        <x:v>Proposed control</x:v>
      </x:c>
      <x:c r="O142" s="23" t="str">
        <x:v>Backlog</x:v>
      </x:c>
      <x:c r="P142" s="23" t="str">
        <x:v>Not Run</x:v>
      </x:c>
      <x:c r="Q142" s="23" t="str">
        <x:v>Not Run</x:v>
      </x:c>
      <x:c r="R142" s="23" t="str">
        <x:v>Not Run</x:v>
      </x:c>
      <x:c r="S142" s="23" t="str">
        <x:v>Backlog</x:v>
      </x:c>
      <x:c r="T142" s="29" t="str"/>
      <x:c r="U142" s="32" t="str"/>
      <x:c r="V142" s="23" t="str">
        <x:v>Current module source and production handoff</x:v>
      </x:c>
      <x:c r="W142" s="23" t="str">
        <x:v>Not Run</x:v>
      </x:c>
      <x:c r="X142" s="23" t="str">
        <x:v>Not Run</x:v>
      </x:c>
      <x:c r="Y142" s="23" t="str">
        <x:v>Not Run</x:v>
      </x:c>
      <x:c r="Z142" s="23" t="str">
        <x:v>Not Run</x:v>
      </x:c>
      <x:c r="AA142" s="23" t="str">
        <x:v>Not Run</x:v>
      </x:c>
      <x:c r="AB142" s="23" t="str"/>
    </x:row>
    <x:row r="143">
      <x:c r="A143" s="24" t="str">
        <x:v>SIGN-001</x:v>
      </x:c>
      <x:c r="B143" s="24" t="str">
        <x:v>W19 Acceptance</x:v>
      </x:c>
      <x:c r="C143" s="27" t="n">
        <x:v>138</x:v>
      </x:c>
      <x:c r="D143" s="24" t="str">
        <x:v>Production Approval and Cutover</x:v>
      </x:c>
      <x:c r="E143" s="24" t="str">
        <x:v>N/A</x:v>
      </x:c>
      <x:c r="F143" s="24" t="str">
        <x:v>Project Owner, Finance Owner, Payroll Owner, Security, Operations, Technical Owner, Product Owner</x:v>
      </x:c>
      <x:c r="G143" s="24" t="str">
        <x:v>Technical completion alone is not production approval, and empty-all enablement could otherwise occur implicitly.</x:v>
      </x:c>
      <x:c r="H143" s="24" t="str">
        <x:v>Review all evidence, unresolved risks, pilot scope, backup, rollback, monitoring, and support ownership. Deploy flags OFF, apply reviewed migrations, check health, enable explicit pilot scopes in dependency order, smoke, observe, and expand only through separate approval. Keep Delivery independently controlled.</x:v>
      </x:c>
      <x:c r="I143" s="24" t="str">
        <x:v>Release sign-off</x:v>
      </x:c>
      <x:c r="J143" s="24" t="str">
        <x:v>P0</x:v>
      </x:c>
      <x:c r="K143" s="24" t="str">
        <x:v>QA-001,QA-002,QA-003,DEF-001,DOC-001</x:v>
      </x:c>
      <x:c r="L143" s="24" t="str">
        <x:v>All named owners approve the same SHA, no P0/P1 remains, a production backup and rollback owner are recorded, post-enable reconciliation passes, and empty-all expansion is never implicit.</x:v>
      </x:c>
      <x:c r="M143" s="24" t="str">
        <x:v>Not Run - complete the signed release checklist and controlled post-cutover smoke without destructive production testing.</x:v>
      </x:c>
      <x:c r="N143" s="24" t="str">
        <x:v>Proposed control</x:v>
      </x:c>
      <x:c r="O143" s="24" t="str">
        <x:v>Not Run</x:v>
      </x:c>
      <x:c r="P143" s="24" t="str">
        <x:v>Not Run</x:v>
      </x:c>
      <x:c r="Q143" s="24" t="str">
        <x:v>Not Run</x:v>
      </x:c>
      <x:c r="R143" s="24" t="str">
        <x:v>Not Run</x:v>
      </x:c>
      <x:c r="S143" s="24" t="str">
        <x:v>Backlog</x:v>
      </x:c>
      <x:c r="T143" s="30" t="str"/>
      <x:c r="U143" s="33" t="str"/>
      <x:c r="V143" s="24" t="str">
        <x:v>Current module source and production handoff</x:v>
      </x:c>
      <x:c r="W143" s="24" t="str">
        <x:v>Not Run</x:v>
      </x:c>
      <x:c r="X143" s="24" t="str">
        <x:v>Not Run</x:v>
      </x:c>
      <x:c r="Y143" s="24" t="str">
        <x:v>Not Run</x:v>
      </x:c>
      <x:c r="Z143" s="24" t="str">
        <x:v>Not Run</x:v>
      </x:c>
      <x:c r="AA143" s="24" t="str">
        <x:v>Not Run</x:v>
      </x:c>
      <x:c r="AB143" s="24" t="str"/>
    </x:row>
  </x:sheetData>
  <x:conditionalFormatting sqref="J6:J143">
    <x:cfRule type="containsText" dxfId="0" priority="1" operator="containsText" text="P0"/>
    <x:cfRule type="containsText" dxfId="1" priority="2" operator="containsText" text="P1"/>
  </x:conditionalFormatting>
  <x:conditionalFormatting sqref="O6:AA143">
    <x:cfRule type="containsText" dxfId="2" priority="3" operator="containsText" text="Blocked"/>
    <x:cfRule type="containsText" dxfId="3" priority="4" operator="containsText" text="Passed"/>
    <x:cfRule type="containsText" dxfId="4" priority="5" operator="containsText" text="Done"/>
  </x:conditionalFormatting>
  <x:dataValidations count="11">
    <x:dataValidation type="list" sqref="J6:J143">
      <x:formula1>"P0,P1,P2,P3"</x:formula1>
    </x:dataValidation>
    <x:dataValidation type="list" sqref="O6:O143">
      <x:formula1>"Backlog,Ready,Not Run,In Progress,UX Review,Code Review,Ready for UAT,Blocked,Rework,Done,Deferred"</x:formula1>
    </x:dataValidation>
    <x:dataValidation type="list" sqref="P6:P143">
      <x:formula1>"Not Run,In Progress,Passed,Failed,Blocked,Not Applicable"</x:formula1>
    </x:dataValidation>
    <x:dataValidation type="list" sqref="Q6:Q143">
      <x:formula1>"Not Run,In Progress,Passed,Failed,Blocked,Not Applicable"</x:formula1>
    </x:dataValidation>
    <x:dataValidation type="list" sqref="R6:R143">
      <x:formula1>"Not Run,In Progress,Passed,Failed,Blocked,Not Applicable"</x:formula1>
    </x:dataValidation>
    <x:dataValidation type="list" sqref="W6:W143">
      <x:formula1>"Not Run,In Progress,Passed,Failed,Blocked,Not Applicable"</x:formula1>
    </x:dataValidation>
    <x:dataValidation type="list" sqref="X6:X143">
      <x:formula1>"Not Run,In Progress,Passed,Failed,Blocked,Not Applicable"</x:formula1>
    </x:dataValidation>
    <x:dataValidation type="list" sqref="Y6:Y143">
      <x:formula1>"Not Run,In Progress,Passed,Failed,Blocked,Not Applicable"</x:formula1>
    </x:dataValidation>
    <x:dataValidation type="list" sqref="Z6:Z143">
      <x:formula1>"Not Run,In Progress,Passed,Failed,Blocked,Not Applicable"</x:formula1>
    </x:dataValidation>
    <x:dataValidation type="list" sqref="AA6:AA143">
      <x:formula1>"Not Run,In Progress,Passed,Failed,Blocked,Not Applicable"</x:formula1>
    </x:dataValidation>
    <x:dataValidation type="list" sqref="S6:S143">
      <x:formula1>"Backlog,In Progress,Ready for Review,Reviewed,Not Applicable"</x:formula1>
    </x:dataValidation>
  </x:dataValidations>
  <x:pageMargins left="0.7" right="0.7" top="0.75" bottom="0.75" header="0.3" footer="0.3"/>
  <x:tableParts count="1">
    <x:tablePart xmlns:r="http://schemas.openxmlformats.org/officeDocument/2006/relationships" r:id="R80d163ef7f7e46c3"/>
  </x:tableParts>
</x:worksheet>
</file>

<file path=xl/worksheets/sheet2.xml><?xml version="1.0" encoding="utf-8"?>
<x:worksheet xmlns:x="http://schemas.openxmlformats.org/spreadsheetml/2006/main">
  <x:sheetViews>
    <x:sheetView showGridLines="0" workbookViewId="0">
      <x:pane xSplit="3" ySplit="5" topLeftCell="D6" activePane="bottomRight" state="frozen"/>
    </x:sheetView>
  </x:sheetViews>
  <x:sheetFormatPr defaultRowHeight="15"/>
  <x:cols>
    <x:col min="1" max="1" width="12" hidden="0" customWidth="1"/>
    <x:col min="2" max="2" width="25" hidden="0" customWidth="1"/>
    <x:col min="3" max="3" width="24" hidden="0" customWidth="1"/>
    <x:col min="4" max="4" width="32" hidden="0" customWidth="1"/>
    <x:col min="5" max="5" width="28" hidden="0" customWidth="1"/>
    <x:col min="6" max="6" width="70" hidden="0" customWidth="1"/>
    <x:col min="7" max="7" width="42" hidden="0" customWidth="1"/>
    <x:col min="8" max="8" width="46" hidden="0" customWidth="1"/>
    <x:col min="9" max="9" width="30" hidden="0" customWidth="1"/>
    <x:col min="10" max="10" width="30" hidden="0" customWidth="1"/>
    <x:col min="11" max="11" width="52" hidden="0" customWidth="1"/>
  </x:cols>
  <x:sheetData>
    <x:row r="1">
      <x:c r="A1" s="1" t="str">
        <x:v>Historical baseline — Module Flows (2026-09-09; superseded)</x:v>
      </x:c>
      <x:c r="B1" s="1"/>
      <x:c r="C1" s="1"/>
      <x:c r="D1" s="1"/>
      <x:c r="E1" s="1"/>
      <x:c r="F1" s="1"/>
      <x:c r="G1" s="1"/>
      <x:c r="H1" s="1"/>
      <x:c r="I1" s="1"/>
      <x:c r="J1" s="1"/>
      <x:c r="K1" s="1"/>
    </x:row>
    <x:row r="2">
      <x:c r="A2" s="2" t="str">
        <x:v>Dependency-ordered current-to-target business journeys</x:v>
      </x:c>
      <x:c r="B2" s="2"/>
      <x:c r="C2" s="2"/>
      <x:c r="D2" s="2"/>
      <x:c r="E2" s="2"/>
      <x:c r="F2" s="2"/>
      <x:c r="G2" s="2"/>
      <x:c r="H2" s="2"/>
      <x:c r="I2" s="2"/>
      <x:c r="J2" s="2"/>
      <x:c r="K2" s="2"/>
    </x:row>
    <x:row r="3">
      <x:c r="A3" s="62" t="str">
        <x:v>Retained for traceability only. Do not execute legacy UAT, V1/V2/Lite/Legacy, environment-allowlist, or isolated-database instructions from this sheet; use the 2026-09-17 sheets and staging-safety runbook.</x:v>
      </x:c>
      <x:c r="B3" s="3"/>
      <x:c r="C3" s="3"/>
      <x:c r="D3" s="3"/>
      <x:c r="E3" s="3"/>
      <x:c r="F3" s="3"/>
      <x:c r="G3" s="3"/>
      <x:c r="H3" s="3"/>
      <x:c r="I3" s="3"/>
      <x:c r="J3" s="3"/>
      <x:c r="K3" s="3"/>
    </x:row>
    <x:row r="4" ht="4" customHeight="1">
      <x:c r="A4" s="4"/>
      <x:c r="B4" s="4"/>
      <x:c r="C4" s="4"/>
      <x:c r="D4" s="4"/>
      <x:c r="E4" s="4"/>
      <x:c r="F4" s="4"/>
      <x:c r="G4" s="4"/>
      <x:c r="H4" s="4"/>
      <x:c r="I4" s="4"/>
      <x:c r="J4" s="4"/>
      <x:c r="K4" s="4"/>
    </x:row>
    <x:row r="5" ht="36" customHeight="1">
      <x:c r="A5" s="16" t="str">
        <x:v>Flow ID</x:v>
      </x:c>
      <x:c r="B5" s="17" t="str">
        <x:v>Wave</x:v>
      </x:c>
      <x:c r="C5" s="17" t="str">
        <x:v>Module</x:v>
      </x:c>
      <x:c r="D5" s="17" t="str">
        <x:v>Roles</x:v>
      </x:c>
      <x:c r="E5" s="17" t="str">
        <x:v>Entry</x:v>
      </x:c>
      <x:c r="F5" s="17" t="str">
        <x:v>Detailed flow</x:v>
      </x:c>
      <x:c r="G5" s="17" t="str">
        <x:v>Role handoffs</x:v>
      </x:c>
      <x:c r="H5" s="17" t="str">
        <x:v>Exit outcome</x:v>
      </x:c>
      <x:c r="I5" s="17" t="str">
        <x:v>Dependencies</x:v>
      </x:c>
      <x:c r="J5" s="17" t="str">
        <x:v>Current availability</x:v>
      </x:c>
      <x:c r="K5" s="18" t="str">
        <x:v>Module acceptance gate</x:v>
      </x:c>
    </x:row>
    <x:row r="6">
      <x:c r="A6" s="22" t="str">
        <x:v>FLOW-01</x:v>
      </x:c>
      <x:c r="B6" s="22" t="str">
        <x:v>W1 Shared UX</x:v>
      </x:c>
      <x:c r="C6" s="22" t="str">
        <x:v>Application shell</x:v>
      </x:c>
      <x:c r="D6" s="22" t="str">
        <x:v>All authenticated personas</x:v>
      </x:c>
      <x:c r="E6" s="22" t="str">
        <x:v>Login or direct permitted URL</x:v>
      </x:c>
      <x:c r="F6" s="22" t="str">
        <x:v>Authenticate → resolve active Company/Branch → show role-aware landing → navigate to list → open record → perform authorized action → receive status and next action</x:v>
      </x:c>
      <x:c r="G6" s="22" t="str">
        <x:v>Authentication → organization context → module permission/capability → business action</x:v>
      </x:c>
      <x:c r="H6" s="22" t="str">
        <x:v>User reaches the intended outcome without unrelated menus, raw IDs or unexplained dead ends</x:v>
      </x:c>
      <x:c r="I6" s="22" t="str">
        <x:v>W0-11, UX-01–UX-06</x:v>
      </x:c>
      <x:c r="J6" s="22" t="str">
        <x:v>Implemented / inconsistent patterns</x:v>
      </x:c>
      <x:c r="K6" s="22" t="str">
        <x:v>Desktop, mobile, keyboard and 200% zoom pass; denied, empty, loading and failure states are distinct</x:v>
      </x:c>
    </x:row>
    <x:row r="7">
      <x:c r="A7" s="23" t="str">
        <x:v>FLOW-02</x:v>
      </x:c>
      <x:c r="B7" s="23" t="str">
        <x:v>W3 Entry and organization</x:v>
      </x:c>
      <x:c r="C7" s="23" t="str">
        <x:v>Authentication and organization setup</x:v>
      </x:c>
      <x:c r="D7" s="23" t="str">
        <x:v>Organization Owner, invited User</x:v>
      </x:c>
      <x:c r="E7" s="23" t="str">
        <x:v>Register, login, invitation or password recovery</x:v>
      </x:c>
      <x:c r="F7" s="23" t="str">
        <x:v>Register/Login → OTP or invitation verification → Organization → Company → Branch → structure → review → founding Employee linkage → capability refresh → Dashboard</x:v>
      </x:c>
      <x:c r="G7" s="23" t="str">
        <x:v>Public identity → authenticated User → organization ownership → Employee-linked workspace</x:v>
      </x:c>
      <x:c r="H7" s="23" t="str">
        <x:v>Owner enters the application with current Company/Branch, Employee link and correct module capabilities</x:v>
      </x:c>
      <x:c r="I7" s="23" t="str">
        <x:v>AUTH-01, ORG-01–ORG-04</x:v>
      </x:c>
      <x:c r="J7" s="23" t="str">
        <x:v>Implemented / regression required</x:v>
      </x:c>
      <x:c r="K7" s="23" t="str">
        <x:v>Safe return URL, resumable setup, no duplicate masters, recovery for failed Employee linkage</x:v>
      </x:c>
    </x:row>
    <x:row r="8">
      <x:c r="A8" s="23" t="str">
        <x:v>FLOW-03</x:v>
      </x:c>
      <x:c r="B8" s="23" t="str">
        <x:v>W5 Administration and security</x:v>
      </x:c>
      <x:c r="C8" s="23" t="str">
        <x:v>Organization masters and access</x:v>
      </x:c>
      <x:c r="D8" s="23" t="str">
        <x:v>Organization Admin, Security Admin</x:v>
      </x:c>
      <x:c r="E8" s="23" t="str">
        <x:v>Administration menu</x:v>
      </x:c>
      <x:c r="F8" s="23" t="str">
        <x:v>Company Group → Company → Branch → Department → Designation → Shift/Calendar → Employee → User invitation → scoped Role assignment → access preview → session refresh</x:v>
      </x:c>
      <x:c r="G8" s="23" t="str">
        <x:v>Structure Admin → HR → Security Admin</x:v>
      </x:c>
      <x:c r="H8" s="23" t="str">
        <x:v>Every User has understandable Company/Branch access and only valid menu/actions</x:v>
      </x:c>
      <x:c r="I8" s="23" t="str">
        <x:v>ADM-01–ADM-04, SEC-01–SEC-03</x:v>
      </x:c>
      <x:c r="J8" s="23" t="str">
        <x:v>Implemented / guidance and page migration required</x:v>
      </x:c>
      <x:c r="K8" s="23" t="str">
        <x:v>No privilege widening without confirmation; system roles protected; cross-tenant denial proven</x:v>
      </x:c>
    </x:row>
    <x:row r="9">
      <x:c r="A9" s="23" t="str">
        <x:v>FLOW-04</x:v>
      </x:c>
      <x:c r="B9" s="23" t="str">
        <x:v>W6 Employees and documents</x:v>
      </x:c>
      <x:c r="C9" s="23" t="str">
        <x:v>Employees and documents</x:v>
      </x:c>
      <x:c r="D9" s="23" t="str">
        <x:v>HR Admin, HR Viewer, Employee, Document Verifier</x:v>
      </x:c>
      <x:c r="E9" s="23" t="str">
        <x:v>Employees or Employee Documents</x:v>
      </x:c>
      <x:c r="F9" s="23" t="str">
        <x:v>Find/Create Employee → validate organization and reporting data → profile/edit → configure document Category/Type → register/upload → scan → verify/reject → authorized download</x:v>
      </x:c>
      <x:c r="G9" s="23" t="str">
        <x:v>HR master-data owner → Employee/uploader → scanner → HR verifier</x:v>
      </x:c>
      <x:c r="H9" s="23" t="str">
        <x:v>Employee record and document lifecycle reconcile; restricted users see no mutation action</x:v>
      </x:c>
      <x:c r="I9" s="23" t="str">
        <x:v>EMP-001–EMP-003, DOC-001–DOC-003, ENV-002</x:v>
      </x:c>
      <x:c r="J9" s="23" t="str">
        <x:v>Partial / provider-dependent</x:v>
      </x:c>
      <x:c r="K9" s="23" t="str">
        <x:v>Server paging, scope validation, real S3/ClamAV evidence and secure download authorization pass</x:v>
      </x:c>
    </x:row>
    <x:row r="10">
      <x:c r="A10" s="23" t="str">
        <x:v>FLOW-05</x:v>
      </x:c>
      <x:c r="B10" s="23" t="str">
        <x:v>W7 Recruitment</x:v>
      </x:c>
      <x:c r="C10" s="23" t="str">
        <x:v>Recruitment</x:v>
      </x:c>
      <x:c r="D10" s="23" t="str">
        <x:v>Recruiter, Interviewer, Hiring Manager, Candidate, Offer Verifier</x:v>
      </x:c>
      <x:c r="E10" s="23" t="str">
        <x:v>Recruitment Dashboard or public Careers</x:v>
      </x:c>
      <x:c r="F10" s="23" t="str">
        <x:v>Opening Draft → publication checklist → Publish → public Application → shortlist/screen → Interview → Evaluation → selection → Offer → delivery → Candidate response/signature → verification → conversion preflight</x:v>
      </x:c>
      <x:c r="G10" s="23" t="str">
        <x:v>Recruiter → Candidate → Interview panel → Hiring Manager → Offer owner/verifier → HR conversion owner</x:v>
      </x:c>
      <x:c r="H10" s="23" t="str">
        <x:v>One accepted Candidate is ready for idempotent Employee conversion and onboarding</x:v>
      </x:c>
      <x:c r="I10" s="23" t="str">
        <x:v>REC-001–REC-008, ENV-002</x:v>
      </x:c>
      <x:c r="J10" s="23" t="str">
        <x:v>Partial / provider-dependent</x:v>
      </x:c>
      <x:c r="K10" s="23" t="str">
        <x:v>Every stage has one valid next action; public, provider, permission and concurrency evidence passes</x:v>
      </x:c>
    </x:row>
    <x:row r="11">
      <x:c r="A11" s="23" t="str">
        <x:v>FLOW-06</x:v>
      </x:c>
      <x:c r="B11" s="23" t="str">
        <x:v>W2 Designation</x:v>
      </x:c>
      <x:c r="C11" s="23" t="str">
        <x:v>Designation onboarding entry</x:v>
      </x:c>
      <x:c r="D11" s="23" t="str">
        <x:v>Structure Admin, Onboarding Admin</x:v>
      </x:c>
      <x:c r="E11" s="23" t="str">
        <x:v>Designations or Onboarding Templates</x:v>
      </x:c>
      <x:c r="F11" s="23" t="str">
        <x:v>Open full Create Designation page → select Company/Branch → enter Designation → optionally select first Onboarding involvement Department → atomic save → open first Department checklist</x:v>
      </x:c>
      <x:c r="G11" s="23" t="str">
        <x:v>Structure permission + Onboarding permission → linked template authoring</x:v>
      </x:c>
      <x:c r="H11" s="23" t="str">
        <x:v>One reachable Designation, Draft template/version/scope and Department container, or no write on failure</x:v>
      </x:c>
      <x:c r="I11" s="23" t="str">
        <x:v>W0-03–W0-07, DES-01–DES-07</x:v>
      </x:c>
      <x:c r="J11" s="23" t="str">
        <x:v>Recently implemented / hardening required</x:v>
      </x:c>
      <x:c r="K11" s="23" t="str">
        <x:v>Feature gate, RBAC, Branch scope, inactive status and retry behavior pass under production settings</x:v>
      </x:c>
    </x:row>
    <x:row r="12">
      <x:c r="A12" s="23" t="str">
        <x:v>FLOW-07</x:v>
      </x:c>
      <x:c r="B12" s="23" t="str">
        <x:v>W8 Onboarding</x:v>
      </x:c>
      <x:c r="C12" s="23" t="str">
        <x:v>Onboarding templates</x:v>
      </x:c>
      <x:c r="D12" s="23" t="str">
        <x:v>HR Onboarding Admin, Department Owner</x:v>
      </x:c>
      <x:c r="E12" s="23" t="str">
        <x:v>Onboarding Templates</x:v>
      </x:c>
      <x:c r="F12" s="23" t="str">
        <x:v>Designation template → Department → Task Groups → Tasks/dependencies/owners/asset requirements → validate issues → review Draft → publish version</x:v>
      </x:c>
      <x:c r="G12" s="23" t="str">
        <x:v>HR template owner → Department content owner → publisher/reviewer</x:v>
      </x:c>
      <x:c r="H12" s="23" t="str">
        <x:v>One deterministic published template version resolves for the Designation and Branch</x:v>
      </x:c>
      <x:c r="I12" s="23" t="str">
        <x:v>ONB-004, ONB-005</x:v>
      </x:c>
      <x:c r="J12" s="23" t="str">
        <x:v>Partial</x:v>
      </x:c>
      <x:c r="K12" s="23" t="str">
        <x:v>Zero-task templates are not labelled ready; validation is navigable; version and Branch constraints are visible</x:v>
      </x:c>
    </x:row>
    <x:row r="13">
      <x:c r="A13" s="23" t="str">
        <x:v>FLOW-08</x:v>
      </x:c>
      <x:c r="B13" s="23" t="str">
        <x:v>W8 Onboarding</x:v>
      </x:c>
      <x:c r="C13" s="23" t="str">
        <x:v>Employee onboarding runtime</x:v>
      </x:c>
      <x:c r="D13" s="23" t="str">
        <x:v>HR, Employee, Department Assignee, Manager, Asset Custodian</x:v>
      </x:c>
      <x:c r="E13" s="23" t="str">
        <x:v>Employee Onboarding or Recruitment conversion</x:v>
      </x:c>
      <x:c r="F13" s="23" t="str">
        <x:v>Resolve published Designation template → preflight → Start → assign Department tasks → Employee/assignee completes → asset fulfilment → skip/reopen/waive when authorized → final completion → Probation/Active</x:v>
      </x:c>
      <x:c r="G13" s="23" t="str">
        <x:v>HR → Department owner/assignee → Employee → Asset Custodian → HR finalizer</x:v>
      </x:c>
      <x:c r="H13" s="23" t="str">
        <x:v>All mandatory work is complete or formally waived and Employee status changes once</x:v>
      </x:c>
      <x:c r="I13" s="23" t="str">
        <x:v>ONB-006–ONB-008, AST-005</x:v>
      </x:c>
      <x:c r="J13" s="23" t="str">
        <x:v>Partial</x:v>
      </x:c>
      <x:c r="K13" s="23" t="str">
        <x:v>Role queues, dependencies, asset handoff, exceptions, reminders and idempotent completion pass</x:v>
      </x:c>
    </x:row>
    <x:row r="14">
      <x:c r="A14" s="23" t="str">
        <x:v>FLOW-09</x:v>
      </x:c>
      <x:c r="B14" s="23" t="str">
        <x:v>W9 Workforce setup</x:v>
      </x:c>
      <x:c r="C14" s="23" t="str">
        <x:v>Calendar, Shifts and Work Schedule</x:v>
      </x:c>
      <x:c r="D14" s="23" t="str">
        <x:v>Calendar Admin, Reviewer, Schedule Admin</x:v>
      </x:c>
      <x:c r="E14" s="23" t="str">
        <x:v>Business Calendar</x:v>
      </x:c>
      <x:c r="F14" s="23" t="str">
        <x:v>Company calendar → Branch inheritance/override → Draft version/events → review/publish → Shift → roster generation/override → publish/lock → Workforce Calendar</x:v>
      </x:c>
      <x:c r="G14" s="23" t="str">
        <x:v>Calendar maker → reviewer → schedule owner → Attendance</x:v>
      </x:c>
      <x:c r="H14" s="23" t="str">
        <x:v>Published Branch-local work pattern is ready for Attendance, Leave and Payroll</x:v>
      </x:c>
      <x:c r="I14" s="23" t="str">
        <x:v>CAL-001–CAL-003, SCH-001–SCH-002</x:v>
      </x:c>
      <x:c r="J14" s="23" t="str">
        <x:v>Implemented / production verification required</x:v>
      </x:c>
      <x:c r="K14" s="23" t="str">
        <x:v>Timezone, effective-date, import, materialization and lock behavior reconcile</x:v>
      </x:c>
    </x:row>
    <x:row r="15">
      <x:c r="A15" s="23" t="str">
        <x:v>FLOW-10</x:v>
      </x:c>
      <x:c r="B15" s="23" t="str">
        <x:v>W10 Attendance</x:v>
      </x:c>
      <x:c r="C15" s="23" t="str">
        <x:v>Attendance</x:v>
      </x:c>
      <x:c r="D15" s="23" t="str">
        <x:v>Employee, Manager, HR Attendance Admin, Payroll Controller</x:v>
      </x:c>
      <x:c r="E15" s="23" t="str">
        <x:v>My Workspace check-in or Attendance Daily</x:v>
      </x:c>
      <x:c r="F15" s="23" t="str">
        <x:v>Check-in/out → daily record → exception → Employee regularization or HR correction → approval → period review → lock → Payroll Pending → close/reopen</x:v>
      </x:c>
      <x:c r="G15" s="23" t="str">
        <x:v>Employee → Manager/HR → Attendance Controller → Payroll</x:v>
      </x:c>
      <x:c r="H15" s="23" t="str">
        <x:v>Branch-local attendance period is reconciled and ready for Payroll</x:v>
      </x:c>
      <x:c r="I15" s="23" t="str">
        <x:v>ATT-001–ATT-005</x:v>
      </x:c>
      <x:c r="J15" s="23" t="str">
        <x:v>Implemented / scale and timezone gaps</x:v>
      </x:c>
      <x:c r="K15" s="23" t="str">
        <x:v>Rows beyond 100, Branch date, night shift, idempotency, permissions and period blockers pass</x:v>
      </x:c>
    </x:row>
    <x:row r="16">
      <x:c r="A16" s="23" t="str">
        <x:v>FLOW-11</x:v>
      </x:c>
      <x:c r="B16" s="23" t="str">
        <x:v>W11 Leave and overtime</x:v>
      </x:c>
      <x:c r="C16" s="23" t="str">
        <x:v>Leave, Overtime and Comp-off</x:v>
      </x:c>
      <x:c r="D16" s="23" t="str">
        <x:v>Employee, Manager, HR Approver, Payroll/Leave Admin</x:v>
      </x:c>
      <x:c r="E16" s="23" t="str">
        <x:v>Leave setup or My Workspace</x:v>
      </x:c>
      <x:c r="F16" s="23" t="str">
        <x:v>Type/Policy → balance generation → request preview/Draft/Submit → Manager/HR approval → calendar/Attendance impact; Overtime calculate/submit → approve → pay or Comp-off credit → use/expire/revoke</x:v>
      </x:c>
      <x:c r="G16" s="23" t="str">
        <x:v>HR setup → Employee → Manager → HR → Attendance/Payroll</x:v>
      </x:c>
      <x:c r="H16" s="23" t="str">
        <x:v>Balances, calendar, Attendance and settlement ledger reconcile</x:v>
      </x:c>
      <x:c r="I16" s="23" t="str">
        <x:v>LEV-001–LEV-005, OVT-001, CO-001</x:v>
      </x:c>
      <x:c r="J16" s="23" t="str">
        <x:v>Partial</x:v>
      </x:c>
      <x:c r="K16" s="23" t="str">
        <x:v>Policy math, concurrency, approvals, balance reservation/release and settlement pass</x:v>
      </x:c>
    </x:row>
    <x:row r="17">
      <x:c r="A17" s="23" t="str">
        <x:v>FLOW-12</x:v>
      </x:c>
      <x:c r="B17" s="23" t="str">
        <x:v>W12 Assets</x:v>
      </x:c>
      <x:c r="C17" s="23" t="str">
        <x:v>Assets and licences</x:v>
      </x:c>
      <x:c r="D17" s="23" t="str">
        <x:v>Asset Admin, Department Custodian, Employee, HR Separation Owner</x:v>
      </x:c>
      <x:c r="E17" s="23" t="str">
        <x:v>Assets and licences</x:v>
      </x:c>
      <x:c r="F17" s="23" t="str">
        <x:v>Category → Type → physical inventory or Licence Pool → Department grant → assignment/allocation → custody → transfer/return/lost/damaged/revoke → clearance/waiver</x:v>
      </x:c>
      <x:c r="G17" s="23" t="str">
        <x:v>Asset Admin → Custodian → Employee → Transfer/Clearance approver → HR</x:v>
      </x:c>
      <x:c r="H17" s="23" t="str">
        <x:v>Inventory, capacity, Employee custody, onboarding and separation share one authoritative status</x:v>
      </x:c>
      <x:c r="I17" s="23" t="str">
        <x:v>AST-001–AST-007</x:v>
      </x:c>
      <x:c r="J17" s="23" t="str">
        <x:v>Partial / provider-dependent</x:v>
      </x:c>
      <x:c r="K17" s="23" t="str">
        <x:v>No raw IDs, oversubscription, duplicate custody or clearance completion with unresolved mandatory assets</x:v>
      </x:c>
    </x:row>
    <x:row r="18">
      <x:c r="A18" s="23" t="str">
        <x:v>FLOW-13</x:v>
      </x:c>
      <x:c r="B18" s="23" t="str">
        <x:v>W13 HR operations</x:v>
      </x:c>
      <x:c r="C18" s="23" t="str">
        <x:v>HR Requests</x:v>
      </x:c>
      <x:c r="D18" s="23" t="str">
        <x:v>Employee, Approver, HR Processor</x:v>
      </x:c>
      <x:c r="E18" s="23" t="str">
        <x:v>My Workspace HR Requests</x:v>
      </x:c>
      <x:c r="F18" s="23" t="str">
        <x:v>Configure Request Type/workflow → Employee full-page request/attachment → scan → Submit → named sequential approval → HR fulfilment → complete/cancel</x:v>
      </x:c>
      <x:c r="G18" s="23" t="str">
        <x:v>Employee → assigned Approver(s) → HR fulfiller</x:v>
      </x:c>
      <x:c r="H18" s="23" t="str">
        <x:v>Request has complete history, final outcome and secure attachment state</x:v>
      </x:c>
      <x:c r="I18" s="23" t="str">
        <x:v>HRQ-001–HRQ-004</x:v>
      </x:c>
      <x:c r="J18" s="23" t="str">
        <x:v>Partial</x:v>
      </x:c>
      <x:c r="K18" s="23" t="str">
        <x:v>Row 51+, named stages, permission, attachment, rejection/cancel reasons and fulfilment evidence pass</x:v>
      </x:c>
    </x:row>
    <x:row r="19">
      <x:c r="A19" s="23" t="str">
        <x:v>FLOW-14</x:v>
      </x:c>
      <x:c r="B19" s="23" t="str">
        <x:v>W13 HR operations</x:v>
      </x:c>
      <x:c r="C19" s="23" t="str">
        <x:v>Employee Separation</x:v>
      </x:c>
      <x:c r="D19" s="23" t="str">
        <x:v>HR Owner, Approver, Department Owners, Asset Custodian, Security</x:v>
      </x:c>
      <x:c r="E19" s="23" t="str">
        <x:v>Employee Separations</x:v>
      </x:c>
      <x:c r="F19" s="23" t="str">
        <x:v>Employee preflight → separation details → approval → HR/Finance/IT/Admin clearance → Asset clearance/waiver → final impact review → complete → deactivate Employee/sessions</x:v>
      </x:c>
      <x:c r="G19" s="23" t="str">
        <x:v>HR → approver → Department owners/Asset Custodian → HR finalizer → Security</x:v>
      </x:c>
      <x:c r="H19" s="23" t="str">
        <x:v>Employee access is deactivated once while immutable HR, Payroll and Asset history remains</x:v>
      </x:c>
      <x:c r="I19" s="23" t="str">
        <x:v>SEP-001–SEP-003, AST-007</x:v>
      </x:c>
      <x:c r="J19" s="23" t="str">
        <x:v>Partial</x:v>
      </x:c>
      <x:c r="K19" s="23" t="str">
        <x:v>All mandatory clearances, reasons, idempotency, session revocation and retained-history reconciliation pass</x:v>
      </x:c>
    </x:row>
    <x:row r="20">
      <x:c r="A20" s="23" t="str">
        <x:v>FLOW-15</x:v>
      </x:c>
      <x:c r="B20" s="23" t="str">
        <x:v>W14 Projects</x:v>
      </x:c>
      <x:c r="C20" s="23" t="str">
        <x:v>Projects</x:v>
      </x:c>
      <x:c r="D20" s="23" t="str">
        <x:v>Project Admin, Project Manager, Employee, Finance Reader</x:v>
      </x:c>
      <x:c r="E20" s="23" t="str">
        <x:v>Projects</x:v>
      </x:c>
      <x:c r="F20" s="23" t="str">
        <x:v>Create Draft → stages → team → tasks → activation preflight → Employee execution/evidence → Manager review → time/Finance summaries → complete/archive</x:v>
      </x:c>
      <x:c r="G20" s="23" t="str">
        <x:v>Project Admin → Project Manager → Assignee → Manager → Finance Reader</x:v>
      </x:c>
      <x:c r="H20" s="23" t="str">
        <x:v>Internal Project completes with approved task, time and operational Finance evidence</x:v>
      </x:c>
      <x:c r="I20" s="23" t="str">
        <x:v>PRJ-001–PRJ-007</x:v>
      </x:c>
      <x:c r="J20" s="23" t="str">
        <x:v>Internal Project implemented; Client Project/resource planning partial or deferred</x:v>
      </x:c>
      <x:c r="K20" s="23" t="str">
        <x:v>Eligibility, evidence scanning, lifecycle, summaries, two-tenant denial and deferred labels pass</x:v>
      </x:c>
    </x:row>
    <x:row r="21">
      <x:c r="A21" s="23" t="str">
        <x:v>FLOW-16</x:v>
      </x:c>
      <x:c r="B21" s="23" t="str">
        <x:v>W15 Timesheets</x:v>
      </x:c>
      <x:c r="C21" s="23" t="str">
        <x:v>Timesheets</x:v>
      </x:c>
      <x:c r="D21" s="23" t="str">
        <x:v>Employee, snapshotted Reporting Manager</x:v>
      </x:c>
      <x:c r="E21" s="23" t="str">
        <x:v>My Workspace Timesheets</x:v>
      </x:c>
      <x:c r="F21" s="23" t="str">
        <x:v>Create week → enter Task/Work Category lines → review totals → Submit → Manager detail review → Return with reason or Approve → Project summary</x:v>
      </x:c>
      <x:c r="G21" s="23" t="str">
        <x:v>Employee → snapshotted Manager → Project reporting</x:v>
      </x:c>
      <x:c r="H21" s="23" t="str">
        <x:v>Approved immutable hours reconcile to the Project time summary</x:v>
      </x:c>
      <x:c r="I21" s="23" t="str">
        <x:v>TSH-001–TSH-005</x:v>
      </x:c>
      <x:c r="J21" s="23" t="str">
        <x:v>Implemented / UX hardening required</x:v>
      </x:c>
      <x:c r="K21" s="23" t="str">
        <x:v>Exactly-one target, limits, returned correction, concurrency, keyboard and mobile pass</x:v>
      </x:c>
    </x:row>
    <x:row r="22">
      <x:c r="A22" s="23" t="str">
        <x:v>FLOW-17</x:v>
      </x:c>
      <x:c r="B22" s="23" t="str">
        <x:v>W16 Office Finance</x:v>
      </x:c>
      <x:c r="C22" s="23" t="str">
        <x:v>Office Finance Lite</x:v>
      </x:c>
      <x:c r="D22" s="23" t="str">
        <x:v>Setup Admin, Maker, independent Approver, Reverser, Reader</x:v>
      </x:c>
      <x:c r="E22" s="23" t="str">
        <x:v>Office Finance Setup</x:v>
      </x:c>
      <x:c r="F22" s="23" t="str">
        <x:v>Profile → Parties → Categories → Payment Accounts → Period → Draft Income/Expense/Transfer → Submit → independent decision → approved movement → audited reversal → period lock → reports</x:v>
      </x:c>
      <x:c r="G22" s="23" t="str">
        <x:v>Setup Admin → Maker → Approver → Reverser/Controller → Reader</x:v>
      </x:c>
      <x:c r="H22" s="23" t="str">
        <x:v>Approved non-reversed operational cash movement reconciles; period state is explicit</x:v>
      </x:c>
      <x:c r="I22" s="23" t="str">
        <x:v>FIN-001–FIN-005</x:v>
      </x:c>
      <x:c r="J22" s="23" t="str">
        <x:v>Implemented / Office Finance Lite only</x:v>
      </x:c>
      <x:c r="K22" s="23" t="str">
        <x:v>Maker-checker, private attachment, immutability, reversal, period and CSV safety pass</x:v>
      </x:c>
    </x:row>
    <x:row r="23">
      <x:c r="A23" s="23" t="str">
        <x:v>FLOW-18</x:v>
      </x:c>
      <x:c r="B23" s="23" t="str">
        <x:v>W17 Payroll</x:v>
      </x:c>
      <x:c r="C23" s="23" t="str">
        <x:v>Payroll and Payslips</x:v>
      </x:c>
      <x:c r="D23" s="23" t="str">
        <x:v>Payroll Admin, Maker, independent Approver, Payment Operator, Employee</x:v>
      </x:c>
      <x:c r="E23" s="23" t="str">
        <x:v>Payroll Setup</x:v>
      </x:c>
      <x:c r="F23" s="23" t="str">
        <x:v>Components → Employee salary/tax/deductions → readiness/preflight → Draft run/adjustments → Calculate → review/recalculate → independent Approve → Mark Paid → Finance Expense → Payslip worker → Employee download</x:v>
      </x:c>
      <x:c r="G23" s="23" t="str">
        <x:v>Payroll Setup → Maker → Approver → Payment Operator → Finance → Payslip worker → Employee</x:v>
      </x:c>
      <x:c r="H23" s="23" t="str">
        <x:v>One Paid run, one aggregate Finance expense and authorized Employee Payslips reconcile</x:v>
      </x:c>
      <x:c r="I23" s="23" t="str">
        <x:v>PAY-001–PAY-008, FIN-004, ATT-005</x:v>
      </x:c>
      <x:c r="J23" s="23" t="str">
        <x:v>Implemented / final-commit regression required</x:v>
      </x:c>
      <x:c r="K23" s="23" t="str">
        <x:v>Snapshots, two-person approval, concurrent Mark Paid, worker recovery, privacy and download authorization pass</x:v>
      </x:c>
    </x:row>
    <x:row r="24">
      <x:c r="A24" s="23" t="str">
        <x:v>FLOW-19</x:v>
      </x:c>
      <x:c r="B24" s="23" t="str">
        <x:v>W18 Operations</x:v>
      </x:c>
      <x:c r="C24" s="23" t="str">
        <x:v>Delivery, files and retention</x:v>
      </x:c>
      <x:c r="D24" s="23" t="str">
        <x:v>Platform Operator, File Operator, Retention Author/Approver</x:v>
      </x:c>
      <x:c r="E24" s="23" t="str">
        <x:v>Operations</x:v>
      </x:c>
      <x:c r="F24" s="23" t="str">
        <x:v>Event/file → queue/upload → provider/scan result → retry/reconcile → dead letter/suppression or release/quarantine → retention Draft → independent approval → controlled execution</x:v>
      </x:c>
      <x:c r="G24" s="23" t="str">
        <x:v>Business module → worker/provider → Operations → Security/Retention approver</x:v>
      </x:c>
      <x:c r="H24" s="23" t="str">
        <x:v>Failures are visible, recoverable, audited and do not leak sensitive content</x:v>
      </x:c>
      <x:c r="I24" s="23" t="str">
        <x:v>DEL-001–DEL-003, FILE-001, RET-001</x:v>
      </x:c>
      <x:c r="J24" s="23" t="str">
        <x:v>Partial / provider-dependent</x:v>
      </x:c>
      <x:c r="K24" s="23" t="str">
        <x:v>Explicit Delivery pilot, real scan/provider evidence, masked data, independent retention approval and purge-off UAT pass</x:v>
      </x:c>
    </x:row>
    <x:row r="25">
      <x:c r="A25" s="24" t="str">
        <x:v>FLOW-20</x:v>
      </x:c>
      <x:c r="B25" s="24" t="str">
        <x:v>W19 Acceptance</x:v>
      </x:c>
      <x:c r="C25" s="24" t="str">
        <x:v>Integrated release</x:v>
      </x:c>
      <x:c r="D25" s="24" t="str">
        <x:v>All named personas and signers</x:v>
      </x:c>
      <x:c r="E25" s="24" t="str">
        <x:v>Frozen SHA deployed to isolated production-like UAT</x:v>
      </x:c>
      <x:c r="F25" s="24" t="str">
        <x:v>Static/build gates → migration rehearsal → provider readiness → persona flows → tenant isolation → concurrency → responsive/accessibility/performance → defect retest → golden thread → documentation → sign-off → pilot cutover</x:v>
      </x:c>
      <x:c r="G25" s="24" t="str">
        <x:v>Engineering → QA/DBA/Security/Operations → module owners → business owner</x:v>
      </x:c>
      <x:c r="H25" s="24" t="str">
        <x:v>Named production GO/NO-GO decision for one exact SHA and pilot scope</x:v>
      </x:c>
      <x:c r="I25" s="24" t="str">
        <x:v>QA-001–QA-003, DEF-001, RLS-DOC-001, SIGN-001</x:v>
      </x:c>
      <x:c r="J25" s="24" t="str">
        <x:v>Not Run</x:v>
      </x:c>
      <x:c r="K25" s="24" t="str">
        <x:v>No open P0/P1; all required evidence and named approvals exist; rollback and monitoring are ready</x:v>
      </x:c>
    </x:row>
  </x:sheetData>
  <x:pageMargins left="0.7" right="0.7" top="0.75" bottom="0.75" header="0.3" footer="0.3"/>
  <x:tableParts count="1">
    <x:tablePart xmlns:r="http://schemas.openxmlformats.org/officeDocument/2006/relationships" r:id="R048214cd0ce0492b"/>
  </x:tableParts>
</x:worksheet>
</file>

<file path=xl/worksheets/sheet3.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3" hidden="0" customWidth="1"/>
    <x:col min="2" max="2" width="20" hidden="0" customWidth="1"/>
    <x:col min="3" max="3" width="31" hidden="0" customWidth="1"/>
    <x:col min="4" max="4" width="55" hidden="0" customWidth="1"/>
    <x:col min="5" max="5" width="48" hidden="0" customWidth="1"/>
    <x:col min="6" max="6" width="42" hidden="0" customWidth="1"/>
    <x:col min="7" max="7" width="21" hidden="0" customWidth="1"/>
    <x:col min="8" max="8" width="16" hidden="0" customWidth="1"/>
    <x:col min="9" max="9" width="48" hidden="0" customWidth="1"/>
  </x:cols>
  <x:sheetData>
    <x:row r="1">
      <x:c r="A1" s="1" t="str">
        <x:v>Historical baseline — Production Settings (2026-09-09; superseded)</x:v>
      </x:c>
      <x:c r="B1" s="1"/>
      <x:c r="C1" s="1"/>
      <x:c r="D1" s="1"/>
      <x:c r="E1" s="1"/>
      <x:c r="F1" s="1"/>
      <x:c r="G1" s="1"/>
      <x:c r="H1" s="1"/>
      <x:c r="I1" s="1"/>
    </x:row>
    <x:row r="2">
      <x:c r="A2" s="2" t="str">
        <x:v>Production-equivalent UAT controls without production-data mutation</x:v>
      </x:c>
      <x:c r="B2" s="2"/>
      <x:c r="C2" s="2"/>
      <x:c r="D2" s="2"/>
      <x:c r="E2" s="2"/>
      <x:c r="F2" s="2"/>
      <x:c r="G2" s="2"/>
      <x:c r="H2" s="2"/>
      <x:c r="I2" s="2"/>
    </x:row>
    <x:row r="3">
      <x:c r="A3" s="62" t="str">
        <x:v>Retained for traceability only. Do not execute legacy UAT, V1/V2/Lite/Legacy, environment-allowlist, or isolated-database instructions from this sheet; use the 2026-09-17 sheets and staging-safety runbook.</x:v>
      </x:c>
      <x:c r="B3" s="3"/>
      <x:c r="C3" s="3"/>
      <x:c r="D3" s="3"/>
      <x:c r="E3" s="3"/>
      <x:c r="F3" s="3"/>
      <x:c r="G3" s="3"/>
      <x:c r="H3" s="3"/>
      <x:c r="I3" s="3"/>
    </x:row>
    <x:row r="4" ht="4" customHeight="1">
      <x:c r="A4" s="4"/>
      <x:c r="B4" s="4"/>
      <x:c r="C4" s="4"/>
      <x:c r="D4" s="4"/>
      <x:c r="E4" s="4"/>
      <x:c r="F4" s="4"/>
      <x:c r="G4" s="4"/>
      <x:c r="H4" s="4"/>
      <x:c r="I4" s="4"/>
    </x:row>
    <x:row r="5" ht="36" customHeight="1">
      <x:c r="A5" s="16" t="str">
        <x:v>Control ID</x:v>
      </x:c>
      <x:c r="B5" s="17" t="str">
        <x:v>Area</x:v>
      </x:c>
      <x:c r="C5" s="17" t="str">
        <x:v>Setting / Control</x:v>
      </x:c>
      <x:c r="D5" s="17" t="str">
        <x:v>Production-like UAT requirement</x:v>
      </x:c>
      <x:c r="E5" s="17" t="str">
        <x:v>Target / Default</x:v>
      </x:c>
      <x:c r="F5" s="17" t="str">
        <x:v>Required evidence</x:v>
      </x:c>
      <x:c r="G5" s="17" t="str">
        <x:v>Owner</x:v>
      </x:c>
      <x:c r="H5" s="17" t="str">
        <x:v>Status</x:v>
      </x:c>
      <x:c r="I5" s="18" t="str">
        <x:v>Safety note</x:v>
      </x:c>
    </x:row>
    <x:row r="6">
      <x:c r="A6" s="22" t="str">
        <x:v>ENV-01</x:v>
      </x:c>
      <x:c r="B6" s="22" t="str">
        <x:v>Release identity</x:v>
      </x:c>
      <x:c r="C6" s="22" t="str">
        <x:v>Frozen Git SHA</x:v>
      </x:c>
      <x:c r="D6" s="22" t="str">
        <x:v>Use one full SHA for frontend, API, schedulers and workers</x:v>
      </x:c>
      <x:c r="E6" s="22" t="str">
        <x:v>Planning baseline: fc36dbde1cf38f32777f42671559682835a29a4c; replace with final test SHA after fixes</x:v>
      </x:c>
      <x:c r="F6" s="22" t="str">
        <x:v>Git and deployment metadata agree</x:v>
      </x:c>
      <x:c r="G6" s="22" t="str">
        <x:v>Release Owner</x:v>
      </x:c>
      <x:c r="H6" s="28" t="str">
        <x:v>Not Verified</x:v>
      </x:c>
      <x:c r="I6" s="22" t="str">
        <x:v>No result survives a code change without a new run</x:v>
      </x:c>
    </x:row>
    <x:row r="7">
      <x:c r="A7" s="23" t="str">
        <x:v>ENV-02</x:v>
      </x:c>
      <x:c r="B7" s="23" t="str">
        <x:v>Environment isolation</x:v>
      </x:c>
      <x:c r="C7" s="23" t="str">
        <x:v>UAT topology</x:v>
      </x:c>
      <x:c r="D7" s="23" t="str">
        <x:v>Dedicated production-like UAT with no route to production data</x:v>
      </x:c>
      <x:c r="E7" s="23" t="str">
        <x:v>Separate database/schema, storage prefix/bucket, provider sandbox and execution-scoped synthetic tenants</x:v>
      </x:c>
      <x:c r="F7" s="23" t="str">
        <x:v>Topology and connection review</x:v>
      </x:c>
      <x:c r="G7" s="23" t="str">
        <x:v>Infrastructure</x:v>
      </x:c>
      <x:c r="H7" s="29" t="str">
        <x:v>Not Verified</x:v>
      </x:c>
      <x:c r="I7" s="23" t="str">
        <x:v>Never run destructive or failure-injection tests against production</x:v>
      </x:c>
    </x:row>
    <x:row r="8">
      <x:c r="A8" s="23" t="str">
        <x:v>ENV-03</x:v>
      </x:c>
      <x:c r="B8" s="23" t="str">
        <x:v>Runtime</x:v>
      </x:c>
      <x:c r="C8" s="23" t="str">
        <x:v>NODE_ENV</x:v>
      </x:c>
      <x:c r="D8" s="23" t="str">
        <x:v>Run the final UAT deployment with production runtime behavior</x:v>
      </x:c>
      <x:c r="E8" s="23" t="str">
        <x:v>production</x:v>
      </x:c>
      <x:c r="F8" s="23" t="str">
        <x:v>Startup log and masked environment report</x:v>
      </x:c>
      <x:c r="G8" s="23" t="str">
        <x:v>Infrastructure</x:v>
      </x:c>
      <x:c r="H8" s="29" t="str">
        <x:v>Not Verified</x:v>
      </x:c>
      <x:c r="I8" s="23" t="str">
        <x:v>Use isolated UAT resources</x:v>
      </x:c>
    </x:row>
    <x:row r="9">
      <x:c r="A9" s="23" t="str">
        <x:v>ENV-04</x:v>
      </x:c>
      <x:c r="B9" s="23" t="str">
        <x:v>Transport</x:v>
      </x:c>
      <x:c r="C9" s="23" t="str">
        <x:v>TLS and secure sessions</x:v>
      </x:c>
      <x:c r="D9" s="23" t="str">
        <x:v>Use HTTPS, secure cookies, trusted proxy and production CORS/origin policy</x:v>
      </x:c>
      <x:c r="E9" s="23" t="str">
        <x:v>Match production domain pattern with UAT hostnames</x:v>
      </x:c>
      <x:c r="F9" s="23" t="str">
        <x:v>Browser cookie/security header review</x:v>
      </x:c>
      <x:c r="G9" s="23" t="str">
        <x:v>Security</x:v>
      </x:c>
      <x:c r="H9" s="29" t="str">
        <x:v>Not Verified</x:v>
      </x:c>
      <x:c r="I9" s="23" t="str">
        <x:v>No wildcard origin with credentials</x:v>
      </x:c>
    </x:row>
    <x:row r="10">
      <x:c r="A10" s="23" t="str">
        <x:v>ENV-05</x:v>
      </x:c>
      <x:c r="B10" s="23" t="str">
        <x:v>Database</x:v>
      </x:c>
      <x:c r="C10" s="23" t="str">
        <x:v>Migration ledger</x:v>
      </x:c>
      <x:c r="D10" s="23" t="str">
        <x:v>Repository and target report zero unexplained pending or drifted migrations</x:v>
      </x:c>
      <x:c r="E10" s="23" t="str">
        <x:v>Rehearse from zero and upgrade on disposable PostgreSQL before shared UAT</x:v>
      </x:c>
      <x:c r="F10" s="23" t="str">
        <x:v>Migration status, catalog checks and reconciliation</x:v>
      </x:c>
      <x:c r="G10" s="23" t="str">
        <x:v>DBA</x:v>
      </x:c>
      <x:c r="H10" s="29" t="str">
        <x:v>Not Verified</x:v>
      </x:c>
      <x:c r="I10" s="23" t="str">
        <x:v>Do not modify an applied migration</x:v>
      </x:c>
    </x:row>
    <x:row r="11">
      <x:c r="A11" s="23" t="str">
        <x:v>ENV-06</x:v>
      </x:c>
      <x:c r="B11" s="23" t="str">
        <x:v>Database</x:v>
      </x:c>
      <x:c r="C11" s="23" t="str">
        <x:v>Backup and restore</x:v>
      </x:c>
      <x:c r="D11" s="23" t="str">
        <x:v>Create and restore a production-like backup before release approval</x:v>
      </x:c>
      <x:c r="E11" s="23" t="str">
        <x:v>Execution-scoped UAT backup plus documented production backup procedure</x:v>
      </x:c>
      <x:c r="F11" s="23" t="str">
        <x:v>Restore evidence and row-count reconciliation</x:v>
      </x:c>
      <x:c r="G11" s="23" t="str">
        <x:v>DBA</x:v>
      </x:c>
      <x:c r="H11" s="29" t="str">
        <x:v>Not Verified</x:v>
      </x:c>
      <x:c r="I11" s="23" t="str">
        <x:v>Code rollback cannot undo terminal business history</x:v>
      </x:c>
    </x:row>
    <x:row r="12">
      <x:c r="A12" s="23" t="str">
        <x:v>ENV-07</x:v>
      </x:c>
      <x:c r="B12" s="23" t="str">
        <x:v>Cache and jobs</x:v>
      </x:c>
      <x:c r="C12" s="23" t="str">
        <x:v>Redis</x:v>
      </x:c>
      <x:c r="D12" s="23" t="str">
        <x:v>Enable Redis with production-equivalent timeout, namespace and persistence behavior</x:v>
      </x:c>
      <x:c r="E12" s="23" t="str">
        <x:v>REDIS_ENABLED=true with isolated UAT namespace</x:v>
      </x:c>
      <x:c r="F12" s="23" t="str">
        <x:v>Readiness, connectivity and restart evidence</x:v>
      </x:c>
      <x:c r="G12" s="23" t="str">
        <x:v>Infrastructure</x:v>
      </x:c>
      <x:c r="H12" s="29" t="str">
        <x:v>Not Verified</x:v>
      </x:c>
      <x:c r="I12" s="23" t="str">
        <x:v>Secret value stays in secret store</x:v>
      </x:c>
    </x:row>
    <x:row r="13">
      <x:c r="A13" s="23" t="str">
        <x:v>ENV-08</x:v>
      </x:c>
      <x:c r="B13" s="23" t="str">
        <x:v>Scheduled jobs</x:v>
      </x:c>
      <x:c r="C13" s="23" t="str">
        <x:v>WORKFORCE_JOBS_ENABLED</x:v>
      </x:c>
      <x:c r="D13" s="23" t="str">
        <x:v>Enable scheduled workforce processing required by Payroll</x:v>
      </x:c>
      <x:c r="E13" s="23" t="str">
        <x:v>true after job ownership and monitoring are ready</x:v>
      </x:c>
      <x:c r="F13" s="23" t="str">
        <x:v>Scheduler execution and idempotency evidence</x:v>
      </x:c>
      <x:c r="G13" s="23" t="str">
        <x:v>Operations</x:v>
      </x:c>
      <x:c r="H13" s="29" t="str">
        <x:v>Not Verified</x:v>
      </x:c>
      <x:c r="I13" s="23" t="str">
        <x:v>Only one active scheduler owner per job</x:v>
      </x:c>
    </x:row>
    <x:row r="14">
      <x:c r="A14" s="23" t="str">
        <x:v>ENV-09</x:v>
      </x:c>
      <x:c r="B14" s="23" t="str">
        <x:v>File storage</x:v>
      </x:c>
      <x:c r="C14" s="23" t="str">
        <x:v>FILE_STORAGE_V2_ENABLED</x:v>
      </x:c>
      <x:c r="D14" s="23" t="str">
        <x:v>Enable secure file storage for production-like UAT</x:v>
      </x:c>
      <x:c r="E14" s="23" t="str">
        <x:v>true</x:v>
      </x:c>
      <x:c r="F14" s="23" t="str">
        <x:v>Capability API, upload and download evidence</x:v>
      </x:c>
      <x:c r="G14" s="23" t="str">
        <x:v>File Operations</x:v>
      </x:c>
      <x:c r="H14" s="29" t="str">
        <x:v>Not Verified</x:v>
      </x:c>
      <x:c r="I14" s="23" t="str">
        <x:v>Requires private storage and scoped authorization</x:v>
      </x:c>
    </x:row>
    <x:row r="15">
      <x:c r="A15" s="23" t="str">
        <x:v>ENV-10</x:v>
      </x:c>
      <x:c r="B15" s="23" t="str">
        <x:v>File storage</x:v>
      </x:c>
      <x:c r="C15" s="23" t="str">
        <x:v>FILE_STORAGE_SCOPE_ALLOWLIST_JSON</x:v>
      </x:c>
      <x:c r="D15" s="23" t="str">
        <x:v>Exercise empty-list all-organization semantics in isolated two-tenant UAT</x:v>
      </x:c>
      <x:c r="E15" s="23" t="str">
        <x:v>Empty in dedicated UAT test profile; explicit pilot scope for first production rollout</x:v>
      </x:c>
      <x:c r="F15" s="23" t="str">
        <x:v>Tenant A/Tenant B capability and denial matrix</x:v>
      </x:c>
      <x:c r="G15" s="23" t="str">
        <x:v>Release Owner</x:v>
      </x:c>
      <x:c r="H15" s="29" t="str">
        <x:v>Not Verified</x:v>
      </x:c>
      <x:c r="I15" s="23" t="str">
        <x:v>Empty value widens scope when enabled</x:v>
      </x:c>
    </x:row>
    <x:row r="16">
      <x:c r="A16" s="23" t="str">
        <x:v>ENV-11</x:v>
      </x:c>
      <x:c r="B16" s="23" t="str">
        <x:v>Object storage</x:v>
      </x:c>
      <x:c r="C16" s="23" t="str">
        <x:v>STORAGE_S3 settings</x:v>
      </x:c>
      <x:c r="D16" s="23" t="str">
        <x:v>Use a private UAT bucket/prefix with least-privilege credentials</x:v>
      </x:c>
      <x:c r="E16" s="23" t="str">
        <x:v>Configured in deployment secret store</x:v>
      </x:c>
      <x:c r="F16" s="23" t="str">
        <x:v>Put/Get/Delete compensation and access-denial evidence</x:v>
      </x:c>
      <x:c r="G16" s="23" t="str">
        <x:v>Infrastructure</x:v>
      </x:c>
      <x:c r="H16" s="29" t="str">
        <x:v>Not Verified</x:v>
      </x:c>
      <x:c r="I16" s="23" t="str">
        <x:v>Never record keys, object paths or private document contents in evidence</x:v>
      </x:c>
    </x:row>
    <x:row r="17">
      <x:c r="A17" s="23" t="str">
        <x:v>ENV-12</x:v>
      </x:c>
      <x:c r="B17" s="23" t="str">
        <x:v>Malware scanning</x:v>
      </x:c>
      <x:c r="C17" s="23" t="str">
        <x:v>CLAMAV_HOST and FILE_SCAN_WORKER_ENABLED</x:v>
      </x:c>
      <x:c r="D17" s="23" t="str">
        <x:v>Use a reachable scanner and active worker</x:v>
      </x:c>
      <x:c r="E17" s="23" t="str">
        <x:v>FILE_SCAN_WORKER_ENABLED=true after scanner health passes</x:v>
      </x:c>
      <x:c r="F17" s="23" t="str">
        <x:v>Clean, infected, outage, retry and recovery cases</x:v>
      </x:c>
      <x:c r="G17" s="23" t="str">
        <x:v>File Operations</x:v>
      </x:c>
      <x:c r="H17" s="29" t="str">
        <x:v>Not Verified</x:v>
      </x:c>
      <x:c r="I17" s="23" t="str">
        <x:v>Readiness is not acceptance when scanner is skipped</x:v>
      </x:c>
    </x:row>
    <x:row r="18">
      <x:c r="A18" s="23" t="str">
        <x:v>ENV-13</x:v>
      </x:c>
      <x:c r="B18" s="23" t="str">
        <x:v>Signed offers</x:v>
      </x:c>
      <x:c r="C18" s="23" t="str">
        <x:v>SIGNED_OFFER_VERIFICATION_ENABLED</x:v>
      </x:c>
      <x:c r="D18" s="23" t="str">
        <x:v>Enable only with secure storage, scan and reviewer permissions</x:v>
      </x:c>
      <x:c r="E18" s="23" t="str">
        <x:v>true for provider-backed Recruitment UAT</x:v>
      </x:c>
      <x:c r="F18" s="23" t="str">
        <x:v>Signed-offer upload, scan and verification evidence</x:v>
      </x:c>
      <x:c r="G18" s="23" t="str">
        <x:v>Recruitment Owner</x:v>
      </x:c>
      <x:c r="H18" s="29" t="str">
        <x:v>Not Verified</x:v>
      </x:c>
      <x:c r="I18" s="23" t="str">
        <x:v>Candidate content remains private</x:v>
      </x:c>
    </x:row>
    <x:row r="19">
      <x:c r="A19" s="23" t="str">
        <x:v>ENV-14</x:v>
      </x:c>
      <x:c r="B19" s="23" t="str">
        <x:v>Retention</x:v>
      </x:c>
      <x:c r="C19" s="23" t="str">
        <x:v>FILE_RETENTION_PURGE_ENABLED</x:v>
      </x:c>
      <x:c r="D19" s="23" t="str">
        <x:v>Keep destructive purge disabled throughout planning and normal UAT</x:v>
      </x:c>
      <x:c r="E19" s="23" t="str">
        <x:v>false</x:v>
      </x:c>
      <x:c r="F19" s="23" t="str">
        <x:v>Dry-run metadata impact only</x:v>
      </x:c>
      <x:c r="G19" s="23" t="str">
        <x:v>Security</x:v>
      </x:c>
      <x:c r="H19" s="29" t="str">
        <x:v>Not Verified</x:v>
      </x:c>
      <x:c r="I19" s="23" t="str">
        <x:v>Enable only after independent approval and recovery rehearsal</x:v>
      </x:c>
    </x:row>
    <x:row r="20">
      <x:c r="A20" s="23" t="str">
        <x:v>ENV-15</x:v>
      </x:c>
      <x:c r="B20" s="23" t="str">
        <x:v>Onboarding</x:v>
      </x:c>
      <x:c r="C20" s="23" t="str">
        <x:v>ONBOARDING_V2_ENABLED</x:v>
      </x:c>
      <x:c r="D20" s="23" t="str">
        <x:v>Enable Onboarding for production-like UAT</x:v>
      </x:c>
      <x:c r="E20" s="23" t="str">
        <x:v>true</x:v>
      </x:c>
      <x:c r="F20" s="23" t="str">
        <x:v>Capability, API and browser evidence</x:v>
      </x:c>
      <x:c r="G20" s="23" t="str">
        <x:v>HR Owner</x:v>
      </x:c>
      <x:c r="H20" s="29" t="str">
        <x:v>Not Verified</x:v>
      </x:c>
      <x:c r="I20" s="23" t="str">
        <x:v>Feature gate must also protect Designation linking</x:v>
      </x:c>
    </x:row>
    <x:row r="21">
      <x:c r="A21" s="23" t="str">
        <x:v>ENV-16</x:v>
      </x:c>
      <x:c r="B21" s="23" t="str">
        <x:v>Onboarding</x:v>
      </x:c>
      <x:c r="C21" s="23" t="str">
        <x:v>ONBOARDING_V2_COMPANY_IDS / BRANCH_IDS</x:v>
      </x:c>
      <x:c r="D21" s="23" t="str">
        <x:v>Validate empty-all, Company-restricted and Branch-restricted profiles</x:v>
      </x:c>
      <x:c r="E21" s="23" t="str">
        <x:v>Empty only in isolated all-organization test; explicit pilot IDs for first production rollout</x:v>
      </x:c>
      <x:c r="F21" s="23" t="str">
        <x:v>Two-company/two-branch matrix</x:v>
      </x:c>
      <x:c r="G21" s="23" t="str">
        <x:v>Release Owner</x:v>
      </x:c>
      <x:c r="H21" s="29" t="str">
        <x:v>Not Verified</x:v>
      </x:c>
      <x:c r="I21" s="23" t="str">
        <x:v>A non-empty Branch list takes precedence</x:v>
      </x:c>
    </x:row>
    <x:row r="22">
      <x:c r="A22" s="23" t="str">
        <x:v>ENV-17</x:v>
      </x:c>
      <x:c r="B22" s="23" t="str">
        <x:v>Onboarding</x:v>
      </x:c>
      <x:c r="C22" s="23" t="str">
        <x:v>ONBOARDING_REMINDERS_ENABLED</x:v>
      </x:c>
      <x:c r="D22" s="23" t="str">
        <x:v>Keep disabled until stable pagination and operational metrics pass</x:v>
      </x:c>
      <x:c r="E22" s="23" t="str">
        <x:v>false before W0-09; true for over-200 load verification after fix</x:v>
      </x:c>
      <x:c r="F22" s="23" t="str">
        <x:v>Batch coverage, fairness, dedupe and restart evidence</x:v>
      </x:c>
      <x:c r="G22" s="23" t="str">
        <x:v>Operations</x:v>
      </x:c>
      <x:c r="H22" s="29" t="str">
        <x:v>Blocked</x:v>
      </x:c>
      <x:c r="I22" s="23" t="str">
        <x:v>Do not enable globally with current first-200 risk</x:v>
      </x:c>
    </x:row>
    <x:row r="23">
      <x:c r="A23" s="23" t="str">
        <x:v>ENV-18</x:v>
      </x:c>
      <x:c r="B23" s="23" t="str">
        <x:v>Projects</x:v>
      </x:c>
      <x:c r="C23" s="23" t="str">
        <x:v>PROJECTS_LITE_ENABLED</x:v>
      </x:c>
      <x:c r="D23" s="23" t="str">
        <x:v>Enable Project Lite in production-like UAT</x:v>
      </x:c>
      <x:c r="E23" s="23" t="str">
        <x:v>true</x:v>
      </x:c>
      <x:c r="F23" s="23" t="str">
        <x:v>Capability and Project persona evidence</x:v>
      </x:c>
      <x:c r="G23" s="23" t="str">
        <x:v>Project Owner</x:v>
      </x:c>
      <x:c r="H23" s="29" t="str">
        <x:v>Not Verified</x:v>
      </x:c>
      <x:c r="I23" s="23" t="str">
        <x:v>Internal Projects are in scope; Client Projects/resources remain labelled partial/deferred</x:v>
      </x:c>
    </x:row>
    <x:row r="24">
      <x:c r="A24" s="23" t="str">
        <x:v>ENV-19</x:v>
      </x:c>
      <x:c r="B24" s="23" t="str">
        <x:v>Projects</x:v>
      </x:c>
      <x:c r="C24" s="23" t="str">
        <x:v>PROJECTS_LITE_COMPANY_IDS</x:v>
      </x:c>
      <x:c r="D24" s="23" t="str">
        <x:v>Validate empty-all semantics safely</x:v>
      </x:c>
      <x:c r="E24" s="23" t="str">
        <x:v>Empty in isolated all-organization profile; explicit pilot IDs for first production rollout</x:v>
      </x:c>
      <x:c r="F24" s="23" t="str">
        <x:v>Two-tenant capability and direct-ID denial evidence</x:v>
      </x:c>
      <x:c r="G24" s="23" t="str">
        <x:v>Release Owner</x:v>
      </x:c>
      <x:c r="H24" s="29" t="str">
        <x:v>Not Verified</x:v>
      </x:c>
      <x:c r="I24" s="23" t="str">
        <x:v>Requires command-receipt keys</x:v>
      </x:c>
    </x:row>
    <x:row r="25">
      <x:c r="A25" s="23" t="str">
        <x:v>ENV-20</x:v>
      </x:c>
      <x:c r="B25" s="23" t="str">
        <x:v>Office Finance</x:v>
      </x:c>
      <x:c r="C25" s="23" t="str">
        <x:v>OFFICE_FINANCE_LITE_ENABLED</x:v>
      </x:c>
      <x:c r="D25" s="23" t="str">
        <x:v>Enable bounded Office Finance Lite</x:v>
      </x:c>
      <x:c r="E25" s="23" t="str">
        <x:v>true</x:v>
      </x:c>
      <x:c r="F25" s="23" t="str">
        <x:v>Setup, maker-checker and report evidence</x:v>
      </x:c>
      <x:c r="G25" s="23" t="str">
        <x:v>Finance Owner</x:v>
      </x:c>
      <x:c r="H25" s="29" t="str">
        <x:v>Not Verified</x:v>
      </x:c>
      <x:c r="I25" s="23" t="str">
        <x:v>Not statutory accounting</x:v>
      </x:c>
    </x:row>
    <x:row r="26">
      <x:c r="A26" s="23" t="str">
        <x:v>ENV-21</x:v>
      </x:c>
      <x:c r="B26" s="23" t="str">
        <x:v>Office Finance</x:v>
      </x:c>
      <x:c r="C26" s="23" t="str">
        <x:v>OFFICE_FINANCE_LITE_COMPANY_IDS</x:v>
      </x:c>
      <x:c r="D26" s="23" t="str">
        <x:v>Validate empty-all and explicit pilot modes</x:v>
      </x:c>
      <x:c r="E26" s="23" t="str">
        <x:v>Empty in isolated all-organization profile; explicit pilot IDs for initial production</x:v>
      </x:c>
      <x:c r="F26" s="23" t="str">
        <x:v>Capability and cross-company denial evidence</x:v>
      </x:c>
      <x:c r="G26" s="23" t="str">
        <x:v>Release Owner</x:v>
      </x:c>
      <x:c r="H26" s="29" t="str">
        <x:v>Not Verified</x:v>
      </x:c>
      <x:c r="I26" s="23" t="str">
        <x:v>Payroll coverage must be contained by Finance coverage</x:v>
      </x:c>
    </x:row>
    <x:row r="27">
      <x:c r="A27" s="23" t="str">
        <x:v>ENV-22</x:v>
      </x:c>
      <x:c r="B27" s="23" t="str">
        <x:v>Payroll</x:v>
      </x:c>
      <x:c r="C27" s="23" t="str">
        <x:v>PAYROLL_LITE_ENABLED</x:v>
      </x:c>
      <x:c r="D27" s="23" t="str">
        <x:v>Enable Payroll only after Finance, workforce jobs, attendance and storage readiness</x:v>
      </x:c>
      <x:c r="E27" s="23" t="str">
        <x:v>true after dependencies pass</x:v>
      </x:c>
      <x:c r="F27" s="23" t="str">
        <x:v>Preflight, calculation, approval, payment and Payslip evidence</x:v>
      </x:c>
      <x:c r="G27" s="23" t="str">
        <x:v>Payroll Owner</x:v>
      </x:c>
      <x:c r="H27" s="29" t="str">
        <x:v>Not Verified</x:v>
      </x:c>
      <x:c r="I27" s="23" t="str">
        <x:v>Sensitive salary evidence must be masked</x:v>
      </x:c>
    </x:row>
    <x:row r="28">
      <x:c r="A28" s="23" t="str">
        <x:v>ENV-23</x:v>
      </x:c>
      <x:c r="B28" s="23" t="str">
        <x:v>Payroll</x:v>
      </x:c>
      <x:c r="C28" s="23" t="str">
        <x:v>PAYROLL_LITE_COMPANY_IDS</x:v>
      </x:c>
      <x:c r="D28" s="23" t="str">
        <x:v>Validate empty-all and dependency-set semantics</x:v>
      </x:c>
      <x:c r="E28" s="23" t="str">
        <x:v>Empty in isolated all-organization profile; explicit pilot IDs for initial production</x:v>
      </x:c>
      <x:c r="F28" s="23" t="str">
        <x:v>Startup configuration matrix and capability API</x:v>
      </x:c>
      <x:c r="G28" s="23" t="str">
        <x:v>Release Owner</x:v>
      </x:c>
      <x:c r="H28" s="29" t="str">
        <x:v>Not Verified</x:v>
      </x:c>
      <x:c r="I28" s="23" t="str">
        <x:v>Invalid Payroll/Finance combinations must fail startup</x:v>
      </x:c>
    </x:row>
    <x:row r="29">
      <x:c r="A29" s="23" t="str">
        <x:v>ENV-24</x:v>
      </x:c>
      <x:c r="B29" s="23" t="str">
        <x:v>Assets</x:v>
      </x:c>
      <x:c r="C29" s="23" t="str">
        <x:v>ASSET_V2_ENABLED</x:v>
      </x:c>
      <x:c r="D29" s="23" t="str">
        <x:v>Enable Asset V2 with production behavior</x:v>
      </x:c>
      <x:c r="E29" s="23" t="str">
        <x:v>true</x:v>
      </x:c>
      <x:c r="F29" s="23" t="str">
        <x:v>Capability, inventory, custody and clearance evidence</x:v>
      </x:c>
      <x:c r="G29" s="23" t="str">
        <x:v>Asset Owner</x:v>
      </x:c>
      <x:c r="H29" s="29" t="str">
        <x:v>Not Verified</x:v>
      </x:c>
      <x:c r="I29" s="23" t="str">
        <x:v>Requires scoped roles and file readiness where attachments are used</x:v>
      </x:c>
    </x:row>
    <x:row r="30">
      <x:c r="A30" s="23" t="str">
        <x:v>ENV-25</x:v>
      </x:c>
      <x:c r="B30" s="23" t="str">
        <x:v>Assets</x:v>
      </x:c>
      <x:c r="C30" s="23" t="str">
        <x:v>ASSET_V2_SCOPE_ALLOWLIST_JSON</x:v>
      </x:c>
      <x:c r="D30" s="23" t="str">
        <x:v>Validate empty-all plus Company/Branch restriction</x:v>
      </x:c>
      <x:c r="E30" s="23" t="str">
        <x:v>Empty in isolated all-organization profile; explicit pilot entries for initial production</x:v>
      </x:c>
      <x:c r="F30" s="23" t="str">
        <x:v>Two-company/two-branch matrix</x:v>
      </x:c>
      <x:c r="G30" s="23" t="str">
        <x:v>Release Owner</x:v>
      </x:c>
      <x:c r="H30" s="29" t="str">
        <x:v>Not Verified</x:v>
      </x:c>
      <x:c r="I30" s="23" t="str">
        <x:v>Empty enables all Companies/Branches when flag is true</x:v>
      </x:c>
    </x:row>
    <x:row r="31">
      <x:c r="A31" s="23" t="str">
        <x:v>ENV-26</x:v>
      </x:c>
      <x:c r="B31" s="23" t="str">
        <x:v>Recruitment</x:v>
      </x:c>
      <x:c r="C31" s="23" t="str">
        <x:v>RECRUITMENT_ENABLED / PUBLIC_CAREERS_ENABLED</x:v>
      </x:c>
      <x:c r="D31" s="23" t="str">
        <x:v>Use live API paths and public Careers only after abuse/storage controls pass</x:v>
      </x:c>
      <x:c r="E31" s="23" t="str">
        <x:v>true for approved UAT tenant</x:v>
      </x:c>
      <x:c r="F31" s="23" t="str">
        <x:v>Public application, rate-limit and provider evidence</x:v>
      </x:c>
      <x:c r="G31" s="23" t="str">
        <x:v>Recruitment Owner</x:v>
      </x:c>
      <x:c r="H31" s="29" t="str">
        <x:v>Not Verified</x:v>
      </x:c>
      <x:c r="I31" s="23" t="str">
        <x:v>No mock data or development bypass</x:v>
      </x:c>
    </x:row>
    <x:row r="32">
      <x:c r="A32" s="23" t="str">
        <x:v>ENV-27</x:v>
      </x:c>
      <x:c r="B32" s="23" t="str">
        <x:v>Email</x:v>
      </x:c>
      <x:c r="C32" s="23" t="str">
        <x:v>EMAIL_ENABLED / EMAIL_DEV_BYPASS</x:v>
      </x:c>
      <x:c r="D32" s="23" t="str">
        <x:v>Use real provider sandbox and normal delivery path</x:v>
      </x:c>
      <x:c r="E32" s="23" t="str">
        <x:v>EMAIL_ENABLED=true; EMAIL_DEV_BYPASS=false</x:v>
      </x:c>
      <x:c r="F32" s="23" t="str">
        <x:v>Accepted, delivered, bounced and failed receipts</x:v>
      </x:c>
      <x:c r="G32" s="23" t="str">
        <x:v>Delivery Owner</x:v>
      </x:c>
      <x:c r="H32" s="29" t="str">
        <x:v>Not Verified</x:v>
      </x:c>
      <x:c r="I32" s="23" t="str">
        <x:v>Use controlled UAT recipient domain</x:v>
      </x:c>
    </x:row>
    <x:row r="33">
      <x:c r="A33" s="23" t="str">
        <x:v>ENV-28</x:v>
      </x:c>
      <x:c r="B33" s="23" t="str">
        <x:v>Delivery V2</x:v>
      </x:c>
      <x:c r="C33" s="23" t="str">
        <x:v>DELIVERY_V2_ENABLED</x:v>
      </x:c>
      <x:c r="D33" s="23" t="str">
        <x:v>Start disabled, then dry-run and explicit pilot only</x:v>
      </x:c>
      <x:c r="E33" s="23" t="str">
        <x:v>false at baseline; true only for approved pilot verification</x:v>
      </x:c>
      <x:c r="F33" s="23" t="str">
        <x:v>Worker claim and provider receipts</x:v>
      </x:c>
      <x:c r="G33" s="23" t="str">
        <x:v>Delivery Owner</x:v>
      </x:c>
      <x:c r="H33" s="29" t="str">
        <x:v>Blocked</x:v>
      </x:c>
      <x:c r="I33" s="23" t="str">
        <x:v>Delivery empty-all activation is not approved</x:v>
      </x:c>
    </x:row>
    <x:row r="34">
      <x:c r="A34" s="23" t="str">
        <x:v>ENV-29</x:v>
      </x:c>
      <x:c r="B34" s="23" t="str">
        <x:v>Delivery V2</x:v>
      </x:c>
      <x:c r="C34" s="23" t="str">
        <x:v>DELIVERY_V2_ALLOWLIST_JSON</x:v>
      </x:c>
      <x:c r="D34" s="23" t="str">
        <x:v>Require non-empty Company/Branch entries with dryRun before live send</x:v>
      </x:c>
      <x:c r="E34" s="23" t="str">
        <x:v>Explicit pilot JSON only</x:v>
      </x:c>
      <x:c r="F34" s="23" t="str">
        <x:v>Tenant A claimed; Tenant B unclaimed; dry-run before live</x:v>
      </x:c>
      <x:c r="G34" s="23" t="str">
        <x:v>Delivery Owner</x:v>
      </x:c>
      <x:c r="H34" s="29" t="str">
        <x:v>Not Verified</x:v>
      </x:c>
      <x:c r="I34" s="23" t="str">
        <x:v>Never rely on an accidental blank value</x:v>
      </x:c>
    </x:row>
    <x:row r="35">
      <x:c r="A35" s="23" t="str">
        <x:v>ENV-30</x:v>
      </x:c>
      <x:c r="B35" s="23" t="str">
        <x:v>Delivery V2</x:v>
      </x:c>
      <x:c r="C35" s="23" t="str">
        <x:v>ZeptoMail and webhook controls</x:v>
      </x:c>
      <x:c r="D35" s="23" t="str">
        <x:v>Configure sandbox token, sender, webhook secret, replay window and rate limit</x:v>
      </x:c>
      <x:c r="E35" s="23" t="str">
        <x:v>Secret-store values; masked metadata only</x:v>
      </x:c>
      <x:c r="F35" s="23" t="str">
        <x:v>Delivery, bounce, replay and invalid-signature evidence</x:v>
      </x:c>
      <x:c r="G35" s="23" t="str">
        <x:v>Delivery Owner</x:v>
      </x:c>
      <x:c r="H35" s="29" t="str">
        <x:v>Not Verified</x:v>
      </x:c>
      <x:c r="I35" s="23" t="str">
        <x:v>No token or message content in workbook/log evidence</x:v>
      </x:c>
    </x:row>
    <x:row r="36">
      <x:c r="A36" s="23" t="str">
        <x:v>ENV-31</x:v>
      </x:c>
      <x:c r="B36" s="23" t="str">
        <x:v>Tenant model</x:v>
      </x:c>
      <x:c r="C36" s="23" t="str">
        <x:v>Synthetic Tenant A</x:v>
      </x:c>
      <x:c r="D36" s="23" t="str">
        <x:v>Complete happy-path Company with at least two Branches</x:v>
      </x:c>
      <x:c r="E36" s="23" t="str">
        <x:v>Execution-scoped synthetic data</x:v>
      </x:c>
      <x:c r="F36" s="23" t="str">
        <x:v>Persona and module reconciliation</x:v>
      </x:c>
      <x:c r="G36" s="23" t="str">
        <x:v>QA</x:v>
      </x:c>
      <x:c r="H36" s="29" t="str">
        <x:v>Not Verified</x:v>
      </x:c>
      <x:c r="I36" s="23" t="str">
        <x:v>No copied production personal data</x:v>
      </x:c>
    </x:row>
    <x:row r="37">
      <x:c r="A37" s="23" t="str">
        <x:v>ENV-32</x:v>
      </x:c>
      <x:c r="B37" s="23" t="str">
        <x:v>Tenant model</x:v>
      </x:c>
      <x:c r="C37" s="23" t="str">
        <x:v>Synthetic Tenant B</x:v>
      </x:c>
      <x:c r="D37" s="23" t="str">
        <x:v>Isolation tenant with overlapping human-readable names</x:v>
      </x:c>
      <x:c r="E37" s="23" t="str">
        <x:v>Separate Company/Branch/Employees/records</x:v>
      </x:c>
      <x:c r="F37" s="23" t="str">
        <x:v>List, direct-ID and context-switch denial evidence</x:v>
      </x:c>
      <x:c r="G37" s="23" t="str">
        <x:v>QA</x:v>
      </x:c>
      <x:c r="H37" s="29" t="str">
        <x:v>Not Verified</x:v>
      </x:c>
      <x:c r="I37" s="23" t="str">
        <x:v>Use overlapping names to catch label-only scoping errors</x:v>
      </x:c>
    </x:row>
    <x:row r="38">
      <x:c r="A38" s="23" t="str">
        <x:v>ENV-33</x:v>
      </x:c>
      <x:c r="B38" s="23" t="str">
        <x:v>Personas</x:v>
      </x:c>
      <x:c r="C38" s="23" t="str">
        <x:v>Named UAT accounts</x:v>
      </x:c>
      <x:c r="D38" s="23" t="str">
        <x:v>Owner/Admin, HR/Recruiter, Manager, Employee, Asset Custodian, Project Manager, Finance Maker/Approver, Payroll Maker/Approver, Operator, unauthorized and Tenant B user</x:v>
      </x:c>
      <x:c r="E38" s="23" t="str">
        <x:v>Dedicated UAT identities with least-privilege roles</x:v>
      </x:c>
      <x:c r="F38" s="23" t="str">
        <x:v>Persona register and access matrix</x:v>
      </x:c>
      <x:c r="G38" s="23" t="str">
        <x:v>QA</x:v>
      </x:c>
      <x:c r="H38" s="29" t="str">
        <x:v>Not Verified</x:v>
      </x:c>
      <x:c r="I38" s="23" t="str">
        <x:v>Never store passwords in workbook</x:v>
      </x:c>
    </x:row>
    <x:row r="39">
      <x:c r="A39" s="23" t="str">
        <x:v>ENV-34</x:v>
      </x:c>
      <x:c r="B39" s="23" t="str">
        <x:v>Browsers</x:v>
      </x:c>
      <x:c r="C39" s="23" t="str">
        <x:v>Browser and viewport matrix</x:v>
      </x:c>
      <x:c r="D39" s="23" t="str">
        <x:v>Current Chrome and Edge; desktop, tablet and mobile responsive layouts</x:v>
      </x:c>
      <x:c r="E39" s="23" t="str">
        <x:v>Desktop 1366px+, tablet about 1024px, mobile about 390px, plus 200% zoom</x:v>
      </x:c>
      <x:c r="F39" s="23" t="str">
        <x:v>Screenshots/video only when sanitized</x:v>
      </x:c>
      <x:c r="G39" s="23" t="str">
        <x:v>QA</x:v>
      </x:c>
      <x:c r="H39" s="29" t="str">
        <x:v>Not Verified</x:v>
      </x:c>
      <x:c r="I39" s="23" t="str">
        <x:v>Keyboard-only included</x:v>
      </x:c>
    </x:row>
    <x:row r="40">
      <x:c r="A40" s="23" t="str">
        <x:v>ENV-35</x:v>
      </x:c>
      <x:c r="B40" s="23" t="str">
        <x:v>Files</x:v>
      </x:c>
      <x:c r="C40" s="23" t="str">
        <x:v>Controlled test files</x:v>
      </x:c>
      <x:c r="D40" s="23" t="str">
        <x:v>Known clean, standard EICAR-style scanner test file, oversized, wrong MIME and corrupt file</x:v>
      </x:c>
      <x:c r="E40" s="23" t="str">
        <x:v>Synthetic non-sensitive files</x:v>
      </x:c>
      <x:c r="F40" s="23" t="str">
        <x:v>Upload/scan/quarantine/retry evidence</x:v>
      </x:c>
      <x:c r="G40" s="23" t="str">
        <x:v>QA and Security</x:v>
      </x:c>
      <x:c r="H40" s="29" t="str">
        <x:v>Not Verified</x:v>
      </x:c>
      <x:c r="I40" s="23" t="str">
        <x:v>Handle malware sample under approved scanner procedure</x:v>
      </x:c>
    </x:row>
    <x:row r="41">
      <x:c r="A41" s="23" t="str">
        <x:v>ENV-36</x:v>
      </x:c>
      <x:c r="B41" s="23" t="str">
        <x:v>Observability</x:v>
      </x:c>
      <x:c r="C41" s="23" t="str">
        <x:v>Logs, metrics and alerts</x:v>
      </x:c>
      <x:c r="D41" s="23" t="str">
        <x:v>Enable production-equivalent correlation IDs, redaction, worker metrics and alert routing</x:v>
      </x:c>
      <x:c r="E41" s="23" t="str">
        <x:v>No PII, salary, bank references, object keys, tokens or message bodies</x:v>
      </x:c>
      <x:c r="F41" s="23" t="str">
        <x:v>Synthetic alert and log-redaction review</x:v>
      </x:c>
      <x:c r="G41" s="23" t="str">
        <x:v>Operations</x:v>
      </x:c>
      <x:c r="H41" s="29" t="str">
        <x:v>Not Verified</x:v>
      </x:c>
      <x:c r="I41" s="23" t="str">
        <x:v>Company-safe aggregated counts only</x:v>
      </x:c>
    </x:row>
    <x:row r="42">
      <x:c r="A42" s="23" t="str">
        <x:v>ENV-37</x:v>
      </x:c>
      <x:c r="B42" s="23" t="str">
        <x:v>Performance</x:v>
      </x:c>
      <x:c r="C42" s="23" t="str">
        <x:v>Production-like load profile</x:v>
      </x:c>
      <x:c r="D42" s="23" t="str">
        <x:v>Use representative Employee, task, attendance, document and queue volumes</x:v>
      </x:c>
      <x:c r="E42" s="23" t="str">
        <x:v>Include &gt;100 Attendance rows and &gt;200 Onboarding reminders</x:v>
      </x:c>
      <x:c r="F42" s="23" t="str">
        <x:v>API latency, UI responsiveness and worker completion evidence</x:v>
      </x:c>
      <x:c r="G42" s="23" t="str">
        <x:v>Performance Owner</x:v>
      </x:c>
      <x:c r="H42" s="29" t="str">
        <x:v>Not Verified</x:v>
      </x:c>
      <x:c r="I42" s="23" t="str">
        <x:v>Run only in isolated UAT</x:v>
      </x:c>
    </x:row>
    <x:row r="43">
      <x:c r="A43" s="23" t="str">
        <x:v>ENV-38</x:v>
      </x:c>
      <x:c r="B43" s="23" t="str">
        <x:v>Rollback</x:v>
      </x:c>
      <x:c r="C43" s="23" t="str">
        <x:v>Feature disable and worker stop</x:v>
      </x:c>
      <x:c r="D43" s="23" t="str">
        <x:v>Document flag-off, allowlist restriction, worker stop, code rollback and forward-fix decisions</x:v>
      </x:c>
      <x:c r="E43" s="23" t="str">
        <x:v>Validated commands/owners without secrets</x:v>
      </x:c>
      <x:c r="F43" s="23" t="str">
        <x:v>Rollback rehearsal and post-rollback reconciliation</x:v>
      </x:c>
      <x:c r="G43" s="23" t="str">
        <x:v>Release Owner</x:v>
      </x:c>
      <x:c r="H43" s="29" t="str">
        <x:v>Not Verified</x:v>
      </x:c>
      <x:c r="I43" s="23" t="str">
        <x:v>Do not erase immutable business history</x:v>
      </x:c>
    </x:row>
    <x:row r="44">
      <x:c r="A44" s="23" t="str">
        <x:v>ENV-39</x:v>
      </x:c>
      <x:c r="B44" s="23" t="str">
        <x:v>Production safety</x:v>
      </x:c>
      <x:c r="C44" s="23" t="str">
        <x:v>Mutation boundary</x:v>
      </x:c>
      <x:c r="D44" s="23" t="str">
        <x:v>Production receives smoke/read-only validation only until named GO and approved pilot action</x:v>
      </x:c>
      <x:c r="E44" s="23" t="str">
        <x:v>No destructive, failure-injection, malware or bulk data tests in production</x:v>
      </x:c>
      <x:c r="F44" s="23" t="str">
        <x:v>Signed execution checklist</x:v>
      </x:c>
      <x:c r="G44" s="23" t="str">
        <x:v>Release Owner</x:v>
      </x:c>
      <x:c r="H44" s="29" t="str">
        <x:v>Required</x:v>
      </x:c>
      <x:c r="I44" s="23" t="str">
        <x:v>All full tests happen in isolated production-like UAT</x:v>
      </x:c>
    </x:row>
    <x:row r="45">
      <x:c r="A45" s="24" t="str">
        <x:v>ENV-40</x:v>
      </x:c>
      <x:c r="B45" s="24" t="str">
        <x:v>Release approval</x:v>
      </x:c>
      <x:c r="C45" s="24" t="str">
        <x:v>Named sign-offs</x:v>
      </x:c>
      <x:c r="D45" s="24" t="str">
        <x:v>Technical, Security, Infrastructure, HR, Finance/Payroll, Operations and Business approvals for one SHA</x:v>
      </x:c>
      <x:c r="E45" s="24" t="str">
        <x:v>Required before pilot enablement</x:v>
      </x:c>
      <x:c r="F45" s="24" t="str">
        <x:v>Signed Release Gates sheet</x:v>
      </x:c>
      <x:c r="G45" s="24" t="str">
        <x:v>Product Owner</x:v>
      </x:c>
      <x:c r="H45" s="30" t="str">
        <x:v>Not Verified</x:v>
      </x:c>
      <x:c r="I45" s="24" t="str">
        <x:v>No technical pass alone equals production approval</x:v>
      </x:c>
    </x:row>
  </x:sheetData>
  <x:conditionalFormatting sqref="H6:H45">
    <x:cfRule type="containsText" dxfId="5" priority="1" operator="containsText" text="Blocked"/>
    <x:cfRule type="containsText" dxfId="6" priority="2" operator="containsText" text="Verified"/>
  </x:conditionalFormatting>
  <x:dataValidations count="1">
    <x:dataValidation type="list" sqref="H6:H45">
      <x:formula1>"Not Verified,Configured,Verified,Blocked,Required,Not Applicable"</x:formula1>
    </x:dataValidation>
  </x:dataValidations>
  <x:pageMargins left="0.7" right="0.7" top="0.75" bottom="0.75" header="0.3" footer="0.3"/>
  <x:tableParts count="1">
    <x:tablePart xmlns:r="http://schemas.openxmlformats.org/officeDocument/2006/relationships" r:id="R055e300ec01449f4"/>
  </x:tableParts>
</x:worksheet>
</file>

<file path=xl/worksheets/sheet4.xml><?xml version="1.0" encoding="utf-8"?>
<x:worksheet xmlns:x="http://schemas.openxmlformats.org/spreadsheetml/2006/main">
  <x:sheetViews>
    <x:sheetView showGridLines="0" workbookViewId="0">
      <x:pane xSplit="3" ySplit="5" topLeftCell="D6" activePane="bottomRight" state="frozen"/>
    </x:sheetView>
  </x:sheetViews>
  <x:sheetFormatPr defaultRowHeight="15"/>
  <x:cols>
    <x:col min="1" max="1" width="12" hidden="0" customWidth="1"/>
    <x:col min="2" max="2" width="27" hidden="0" customWidth="1"/>
    <x:col min="3" max="3" width="24" hidden="0" customWidth="1"/>
    <x:col min="4" max="4" width="35" hidden="0" customWidth="1"/>
    <x:col min="5" max="5" width="40" hidden="0" customWidth="1"/>
    <x:col min="6" max="6" width="60" hidden="0" customWidth="1"/>
    <x:col min="7" max="7" width="55" hidden="0" customWidth="1"/>
    <x:col min="8" max="8" width="23" hidden="0" customWidth="1"/>
    <x:col min="9" max="9" width="14" hidden="0" customWidth="1"/>
    <x:col min="10" max="10" width="25" hidden="0" customWidth="1"/>
    <x:col min="11" max="11" width="14" hidden="0" customWidth="1"/>
    <x:col min="12" max="12" width="15" hidden="0" customWidth="1"/>
    <x:col min="13" max="13" width="22" hidden="0" customWidth="1"/>
  </x:cols>
  <x:sheetData>
    <x:row r="1">
      <x:c r="A1" s="1" t="str">
        <x:v>Historical baseline — Persona UAT (2026-09-09; superseded)</x:v>
      </x:c>
      <x:c r="B1" s="1"/>
      <x:c r="C1" s="1"/>
      <x:c r="D1" s="1"/>
      <x:c r="E1" s="1"/>
      <x:c r="F1" s="1"/>
      <x:c r="G1" s="1"/>
      <x:c r="H1" s="1"/>
      <x:c r="I1" s="1"/>
      <x:c r="J1" s="1"/>
      <x:c r="K1" s="1"/>
      <x:c r="L1" s="1"/>
      <x:c r="M1" s="1"/>
    </x:row>
    <x:row r="2">
      <x:c r="A2" s="2" t="str">
        <x:v>Real browser, API, database and provider acceptance cases</x:v>
      </x:c>
      <x:c r="B2" s="2"/>
      <x:c r="C2" s="2"/>
      <x:c r="D2" s="2"/>
      <x:c r="E2" s="2"/>
      <x:c r="F2" s="2"/>
      <x:c r="G2" s="2"/>
      <x:c r="H2" s="2"/>
      <x:c r="I2" s="2"/>
      <x:c r="J2" s="2"/>
      <x:c r="K2" s="2"/>
      <x:c r="L2" s="2"/>
      <x:c r="M2" s="2"/>
    </x:row>
    <x:row r="3">
      <x:c r="A3" s="62" t="str">
        <x:v>Retained for traceability only. Do not execute legacy UAT, V1/V2/Lite/Legacy, environment-allowlist, or isolated-database instructions from this sheet; use the 2026-09-17 sheets and staging-safety runbook.</x:v>
      </x:c>
      <x:c r="B3" s="3"/>
      <x:c r="C3" s="3"/>
      <x:c r="D3" s="3"/>
      <x:c r="E3" s="3"/>
      <x:c r="F3" s="3"/>
      <x:c r="G3" s="3"/>
      <x:c r="H3" s="3"/>
      <x:c r="I3" s="3"/>
      <x:c r="J3" s="3"/>
      <x:c r="K3" s="3"/>
      <x:c r="L3" s="3"/>
      <x:c r="M3" s="3"/>
    </x:row>
    <x:row r="4" ht="4" customHeight="1">
      <x:c r="A4" s="4"/>
      <x:c r="B4" s="4"/>
      <x:c r="C4" s="4"/>
      <x:c r="D4" s="4"/>
      <x:c r="E4" s="4"/>
      <x:c r="F4" s="4"/>
      <x:c r="G4" s="4"/>
      <x:c r="H4" s="4"/>
      <x:c r="I4" s="4"/>
      <x:c r="J4" s="4"/>
      <x:c r="K4" s="4"/>
      <x:c r="L4" s="4"/>
      <x:c r="M4" s="4"/>
    </x:row>
    <x:row r="5" ht="36" customHeight="1">
      <x:c r="A5" s="16" t="str">
        <x:v>Case ID</x:v>
      </x:c>
      <x:c r="B5" s="17" t="str">
        <x:v>Persona</x:v>
      </x:c>
      <x:c r="C5" s="17" t="str">
        <x:v>Module</x:v>
      </x:c>
      <x:c r="D5" s="17" t="str">
        <x:v>Scenario</x:v>
      </x:c>
      <x:c r="E5" s="17" t="str">
        <x:v>Preconditions</x:v>
      </x:c>
      <x:c r="F5" s="17" t="str">
        <x:v>Test flow</x:v>
      </x:c>
      <x:c r="G5" s="17" t="str">
        <x:v>Expected result</x:v>
      </x:c>
      <x:c r="H5" s="17" t="str">
        <x:v>Environment</x:v>
      </x:c>
      <x:c r="I5" s="17" t="str">
        <x:v>Status</x:v>
      </x:c>
      <x:c r="J5" s="17" t="str">
        <x:v>Evidence</x:v>
      </x:c>
      <x:c r="K5" s="17" t="str">
        <x:v>Defect ID</x:v>
      </x:c>
      <x:c r="L5" s="17" t="str">
        <x:v>Retest status</x:v>
      </x:c>
      <x:c r="M5" s="18" t="str">
        <x:v>Business approver</x:v>
      </x:c>
    </x:row>
    <x:row r="6">
      <x:c r="A6" s="22" t="str">
        <x:v>UAT-001</x:v>
      </x:c>
      <x:c r="B6" s="22" t="str">
        <x:v>Release Owner</x:v>
      </x:c>
      <x:c r="C6" s="22" t="str">
        <x:v>Release Control</x:v>
      </x:c>
      <x:c r="D6" s="22" t="str">
        <x:v>Freeze and identify release</x:v>
      </x:c>
      <x:c r="E6" s="22" t="str">
        <x:v>Isolated UAT deployment ready</x:v>
      </x:c>
      <x:c r="F6" s="22" t="str">
        <x:v>Record full SHA; compare frontend, API, workers and migration bundle</x:v>
      </x:c>
      <x:c r="G6" s="22" t="str">
        <x:v>Every component and evidence record references the same SHA</x:v>
      </x:c>
      <x:c r="H6" s="22" t="str">
        <x:v>Production-like UAT</x:v>
      </x:c>
      <x:c r="I6" s="22" t="str">
        <x:v>Not Run</x:v>
      </x:c>
      <x:c r="J6" s="31" t="str"/>
      <x:c r="K6" s="22" t="str"/>
      <x:c r="L6" s="22" t="str">
        <x:v>Not Run</x:v>
      </x:c>
      <x:c r="M6" s="22" t="str">
        <x:v>Technical Owner</x:v>
      </x:c>
    </x:row>
    <x:row r="7">
      <x:c r="A7" s="23" t="str">
        <x:v>UAT-002</x:v>
      </x:c>
      <x:c r="B7" s="23" t="str">
        <x:v>Environment Operator</x:v>
      </x:c>
      <x:c r="C7" s="23" t="str">
        <x:v>Feature Gates</x:v>
      </x:c>
      <x:c r="D7" s="23" t="str">
        <x:v>All flags disabled</x:v>
      </x:c>
      <x:c r="E7" s="23" t="str">
        <x:v>Two synthetic tenants</x:v>
      </x:c>
      <x:c r="F7" s="23" t="str">
        <x:v>Start with scoped module flags OFF; request capabilities and direct routes</x:v>
      </x:c>
      <x:c r="G7" s="23" t="str">
        <x:v>Menus/actions are unavailable; APIs and workers fail closed with clear reason</x:v>
      </x:c>
      <x:c r="H7" s="23" t="str">
        <x:v>Production-like UAT</x:v>
      </x:c>
      <x:c r="I7" s="23" t="str">
        <x:v>Not Run</x:v>
      </x:c>
      <x:c r="J7" s="32" t="str"/>
      <x:c r="K7" s="23" t="str"/>
      <x:c r="L7" s="23" t="str">
        <x:v>Not Run</x:v>
      </x:c>
      <x:c r="M7" s="23" t="str">
        <x:v>Security</x:v>
      </x:c>
    </x:row>
    <x:row r="8">
      <x:c r="A8" s="23" t="str">
        <x:v>UAT-003</x:v>
      </x:c>
      <x:c r="B8" s="23" t="str">
        <x:v>Environment Operator</x:v>
      </x:c>
      <x:c r="C8" s="23" t="str">
        <x:v>Feature Gates</x:v>
      </x:c>
      <x:c r="D8" s="23" t="str">
        <x:v>Empty allowlists enable approved modules for all organizations</x:v>
      </x:c>
      <x:c r="E8" s="23" t="str">
        <x:v>Onboarding, Projects, Finance, Payroll, Assets and File Storage enabled; Delivery excluded</x:v>
      </x:c>
      <x:c r="F8" s="23" t="str">
        <x:v>Use empty allowed-module lists; inspect Tenant A and Tenant B capabilities and APIs</x:v>
      </x:c>
      <x:c r="G8" s="23" t="str">
        <x:v>Both tenants receive only approved modules; permissions and dependencies still apply</x:v>
      </x:c>
      <x:c r="H8" s="23" t="str">
        <x:v>Production-like UAT</x:v>
      </x:c>
      <x:c r="I8" s="23" t="str">
        <x:v>Not Run</x:v>
      </x:c>
      <x:c r="J8" s="32" t="str"/>
      <x:c r="K8" s="23" t="str"/>
      <x:c r="L8" s="23" t="str">
        <x:v>Not Run</x:v>
      </x:c>
      <x:c r="M8" s="23" t="str">
        <x:v>Release Owner</x:v>
      </x:c>
    </x:row>
    <x:row r="9">
      <x:c r="A9" s="23" t="str">
        <x:v>UAT-004</x:v>
      </x:c>
      <x:c r="B9" s="23" t="str">
        <x:v>Environment Operator</x:v>
      </x:c>
      <x:c r="C9" s="23" t="str">
        <x:v>Feature Gates</x:v>
      </x:c>
      <x:c r="D9" s="23" t="str">
        <x:v>Explicit Company and Branch pilot</x:v>
      </x:c>
      <x:c r="E9" s="23" t="str">
        <x:v>Pilot profile configured</x:v>
      </x:c>
      <x:c r="F9" s="23" t="str">
        <x:v>Allow Tenant A/Branch A only; test Tenant A/Branch B and Tenant B</x:v>
      </x:c>
      <x:c r="G9" s="23" t="str">
        <x:v>Only the exact pilot scope is enabled; direct-ID requests remain denied</x:v>
      </x:c>
      <x:c r="H9" s="23" t="str">
        <x:v>Production-like UAT</x:v>
      </x:c>
      <x:c r="I9" s="23" t="str">
        <x:v>Not Run</x:v>
      </x:c>
      <x:c r="J9" s="32" t="str"/>
      <x:c r="K9" s="23" t="str"/>
      <x:c r="L9" s="23" t="str">
        <x:v>Not Run</x:v>
      </x:c>
      <x:c r="M9" s="23" t="str">
        <x:v>Security</x:v>
      </x:c>
    </x:row>
    <x:row r="10">
      <x:c r="A10" s="23" t="str">
        <x:v>UAT-005</x:v>
      </x:c>
      <x:c r="B10" s="23" t="str">
        <x:v>Delivery Operator</x:v>
      </x:c>
      <x:c r="C10" s="23" t="str">
        <x:v>Delivery V2</x:v>
      </x:c>
      <x:c r="D10" s="23" t="str">
        <x:v>Dry-run and pilot isolation</x:v>
      </x:c>
      <x:c r="E10" s="23" t="str">
        <x:v>Non-empty Delivery allowlist and provider sandbox</x:v>
      </x:c>
      <x:c r="F10" s="23" t="str">
        <x:v>Run dry-run, then approved live sandbox send for Tenant A; observe Tenant B</x:v>
      </x:c>
      <x:c r="G10" s="23" t="str">
        <x:v>Tenant A follows approved mode; Tenant B is never claimed or sent</x:v>
      </x:c>
      <x:c r="H10" s="23" t="str">
        <x:v>Production-like UAT</x:v>
      </x:c>
      <x:c r="I10" s="23" t="str">
        <x:v>Not Run</x:v>
      </x:c>
      <x:c r="J10" s="32" t="str"/>
      <x:c r="K10" s="23" t="str"/>
      <x:c r="L10" s="23" t="str">
        <x:v>Not Run</x:v>
      </x:c>
      <x:c r="M10" s="23" t="str">
        <x:v>Delivery Owner</x:v>
      </x:c>
    </x:row>
    <x:row r="11">
      <x:c r="A11" s="23" t="str">
        <x:v>UAT-006</x:v>
      </x:c>
      <x:c r="B11" s="23" t="str">
        <x:v>Organization Owner</x:v>
      </x:c>
      <x:c r="C11" s="23" t="str">
        <x:v>Registration</x:v>
      </x:c>
      <x:c r="D11" s="23" t="str">
        <x:v>New owner registration</x:v>
      </x:c>
      <x:c r="E11" s="23" t="str">
        <x:v>Registration enabled with approved legal URLs</x:v>
      </x:c>
      <x:c r="F11" s="23" t="str">
        <x:v>Register; verify OTP; sign in; continue setup</x:v>
      </x:c>
      <x:c r="G11" s="23" t="str">
        <x:v>Owner reaches setup once; expired/replayed codes fail safely</x:v>
      </x:c>
      <x:c r="H11" s="23" t="str">
        <x:v>Production-like UAT</x:v>
      </x:c>
      <x:c r="I11" s="23" t="str">
        <x:v>Not Run</x:v>
      </x:c>
      <x:c r="J11" s="32" t="str"/>
      <x:c r="K11" s="23" t="str"/>
      <x:c r="L11" s="23" t="str">
        <x:v>Not Run</x:v>
      </x:c>
      <x:c r="M11" s="23" t="str">
        <x:v>HR Owner</x:v>
      </x:c>
    </x:row>
    <x:row r="12">
      <x:c r="A12" s="23" t="str">
        <x:v>UAT-007</x:v>
      </x:c>
      <x:c r="B12" s="23" t="str">
        <x:v>Organization Owner</x:v>
      </x:c>
      <x:c r="C12" s="23" t="str">
        <x:v>Organization Setup</x:v>
      </x:c>
      <x:c r="D12" s="23" t="str">
        <x:v>Complete and resume setup</x:v>
      </x:c>
      <x:c r="E12" s="23" t="str">
        <x:v>Fresh Tenant A</x:v>
      </x:c>
      <x:c r="F12" s="23" t="str">
        <x:v>Create organization hierarchy; interrupt after each step; refresh and resume</x:v>
      </x:c>
      <x:c r="G12" s="23" t="str">
        <x:v>No duplicate masters; server-confirmed progress and next action remain correct</x:v>
      </x:c>
      <x:c r="H12" s="23" t="str">
        <x:v>Production-like UAT</x:v>
      </x:c>
      <x:c r="I12" s="23" t="str">
        <x:v>Not Run</x:v>
      </x:c>
      <x:c r="J12" s="32" t="str"/>
      <x:c r="K12" s="23" t="str"/>
      <x:c r="L12" s="23" t="str">
        <x:v>Not Run</x:v>
      </x:c>
      <x:c r="M12" s="23" t="str">
        <x:v>HR Owner</x:v>
      </x:c>
    </x:row>
    <x:row r="13">
      <x:c r="A13" s="23" t="str">
        <x:v>UAT-008</x:v>
      </x:c>
      <x:c r="B13" s="23" t="str">
        <x:v>Organization Owner</x:v>
      </x:c>
      <x:c r="C13" s="23" t="str">
        <x:v>Organization Setup</x:v>
      </x:c>
      <x:c r="D13" s="23" t="str">
        <x:v>Founding Employee recovery</x:v>
      </x:c>
      <x:c r="E13" s="23" t="str">
        <x:v>Controlled Employee-link failure</x:v>
      </x:c>
      <x:c r="F13" s="23" t="str">
        <x:v>Complete setup; trigger safe retry; reload identity</x:v>
      </x:c>
      <x:c r="G13" s="23" t="str">
        <x:v>Workspace entry is possible, repair state is visible and successful retry refreshes Employee context</x:v>
      </x:c>
      <x:c r="H13" s="23" t="str">
        <x:v>Production-like UAT</x:v>
      </x:c>
      <x:c r="I13" s="23" t="str">
        <x:v>Not Run</x:v>
      </x:c>
      <x:c r="J13" s="32" t="str"/>
      <x:c r="K13" s="23" t="str"/>
      <x:c r="L13" s="23" t="str">
        <x:v>Not Run</x:v>
      </x:c>
      <x:c r="M13" s="23" t="str">
        <x:v>Technical Owner</x:v>
      </x:c>
    </x:row>
    <x:row r="14">
      <x:c r="A14" s="23" t="str">
        <x:v>UAT-009</x:v>
      </x:c>
      <x:c r="B14" s="23" t="str">
        <x:v>Invited User</x:v>
      </x:c>
      <x:c r="C14" s="23" t="str">
        <x:v>Authentication</x:v>
      </x:c>
      <x:c r="D14" s="23" t="str">
        <x:v>Invitation and intended destination</x:v>
      </x:c>
      <x:c r="E14" s="23" t="str">
        <x:v>Valid Employee and invite</x:v>
      </x:c>
      <x:c r="F14" s="23" t="str">
        <x:v>Open protected deep link; accept invitation; set password</x:v>
      </x:c>
      <x:c r="G14" s="23" t="str">
        <x:v>User returns to permitted intended route; expired/malicious destinations fail safely</x:v>
      </x:c>
      <x:c r="H14" s="23" t="str">
        <x:v>Production-like UAT</x:v>
      </x:c>
      <x:c r="I14" s="23" t="str">
        <x:v>Not Run</x:v>
      </x:c>
      <x:c r="J14" s="32" t="str"/>
      <x:c r="K14" s="23" t="str"/>
      <x:c r="L14" s="23" t="str">
        <x:v>Not Run</x:v>
      </x:c>
      <x:c r="M14" s="23" t="str">
        <x:v>Security</x:v>
      </x:c>
    </x:row>
    <x:row r="15">
      <x:c r="A15" s="23" t="str">
        <x:v>UAT-010</x:v>
      </x:c>
      <x:c r="B15" s="23" t="str">
        <x:v>Combined Structure and Onboarding Admin</x:v>
      </x:c>
      <x:c r="C15" s="23" t="str">
        <x:v>Designations</x:v>
      </x:c>
      <x:c r="D15" s="23" t="str">
        <x:v>Create Designation with first Department</x:v>
      </x:c>
      <x:c r="E15" s="23" t="str">
        <x:v>Onboarding enabled and Branch selected</x:v>
      </x:c>
      <x:c r="F15" s="23" t="str">
        <x:v>Enter from Designations; create active Designation with involvement Department</x:v>
      </x:c>
      <x:c r="G15" s="23" t="str">
        <x:v>One Designation and one reachable Draft template/version/scope/Department container are created</x:v>
      </x:c>
      <x:c r="H15" s="23" t="str">
        <x:v>Production-like UAT</x:v>
      </x:c>
      <x:c r="I15" s="23" t="str">
        <x:v>Not Run</x:v>
      </x:c>
      <x:c r="J15" s="32" t="str"/>
      <x:c r="K15" s="23" t="str"/>
      <x:c r="L15" s="23" t="str">
        <x:v>Not Run</x:v>
      </x:c>
      <x:c r="M15" s="23" t="str">
        <x:v>HR Owner</x:v>
      </x:c>
    </x:row>
    <x:row r="16">
      <x:c r="A16" s="23" t="str">
        <x:v>UAT-011</x:v>
      </x:c>
      <x:c r="B16" s="23" t="str">
        <x:v>Combined Structure and Onboarding Admin</x:v>
      </x:c>
      <x:c r="C16" s="23" t="str">
        <x:v>Designations</x:v>
      </x:c>
      <x:c r="D16" s="23" t="str">
        <x:v>Create from Onboarding Templates</x:v>
      </x:c>
      <x:c r="E16" s="23" t="str">
        <x:v>Same permissions as UAT-010</x:v>
      </x:c>
      <x:c r="F16" s="23" t="str">
        <x:v>Enter from Onboarding Templates; create and save</x:v>
      </x:c>
      <x:c r="G16" s="23" t="str">
        <x:v>User lands on the new first Department checklist using a safe internal return route</x:v>
      </x:c>
      <x:c r="H16" s="23" t="str">
        <x:v>Production-like UAT</x:v>
      </x:c>
      <x:c r="I16" s="23" t="str">
        <x:v>Not Run</x:v>
      </x:c>
      <x:c r="J16" s="32" t="str"/>
      <x:c r="K16" s="23" t="str"/>
      <x:c r="L16" s="23" t="str">
        <x:v>Not Run</x:v>
      </x:c>
      <x:c r="M16" s="23" t="str">
        <x:v>HR Owner</x:v>
      </x:c>
    </x:row>
    <x:row r="17">
      <x:c r="A17" s="23" t="str">
        <x:v>UAT-012</x:v>
      </x:c>
      <x:c r="B17" s="23" t="str">
        <x:v>Onboarding-only Manager</x:v>
      </x:c>
      <x:c r="C17" s="23" t="str">
        <x:v>Designations</x:v>
      </x:c>
      <x:c r="D17" s="23" t="str">
        <x:v>Permission mismatch prevention</x:v>
      </x:c>
      <x:c r="E17" s="23" t="str">
        <x:v>No organization.structure.manage</x:v>
      </x:c>
      <x:c r="F17" s="23" t="str">
        <x:v>Open Onboarding Templates and direct Create Designation page</x:v>
      </x:c>
      <x:c r="G17" s="23" t="str">
        <x:v>Misleading action is absent or intentionally authorized; no partial Designation is created</x:v>
      </x:c>
      <x:c r="H17" s="23" t="str">
        <x:v>Production-like UAT</x:v>
      </x:c>
      <x:c r="I17" s="23" t="str">
        <x:v>Not Run</x:v>
      </x:c>
      <x:c r="J17" s="32" t="str"/>
      <x:c r="K17" s="23" t="str"/>
      <x:c r="L17" s="23" t="str">
        <x:v>Not Run</x:v>
      </x:c>
      <x:c r="M17" s="23" t="str">
        <x:v>Security</x:v>
      </x:c>
    </x:row>
    <x:row r="18">
      <x:c r="A18" s="23" t="str">
        <x:v>UAT-013</x:v>
      </x:c>
      <x:c r="B18" s="23" t="str">
        <x:v>Structure-only Manager</x:v>
      </x:c>
      <x:c r="C18" s="23" t="str">
        <x:v>Designations</x:v>
      </x:c>
      <x:c r="D18" s="23" t="str">
        <x:v>Onboarding section permission</x:v>
      </x:c>
      <x:c r="E18" s="23" t="str">
        <x:v>No hr.onboarding.manage</x:v>
      </x:c>
      <x:c r="F18" s="23" t="str">
        <x:v>Create normal Designation</x:v>
      </x:c>
      <x:c r="G18" s="23" t="str">
        <x:v>Normal creation succeeds; onboarding fields/actions are absent or clearly unavailable</x:v>
      </x:c>
      <x:c r="H18" s="23" t="str">
        <x:v>Production-like UAT</x:v>
      </x:c>
      <x:c r="I18" s="23" t="str">
        <x:v>Not Run</x:v>
      </x:c>
      <x:c r="J18" s="32" t="str"/>
      <x:c r="K18" s="23" t="str"/>
      <x:c r="L18" s="23" t="str">
        <x:v>Not Run</x:v>
      </x:c>
      <x:c r="M18" s="23" t="str">
        <x:v>Security</x:v>
      </x:c>
    </x:row>
    <x:row r="19">
      <x:c r="A19" s="23" t="str">
        <x:v>UAT-014</x:v>
      </x:c>
      <x:c r="B19" s="23" t="str">
        <x:v>Combined Admin</x:v>
      </x:c>
      <x:c r="C19" s="23" t="str">
        <x:v>Designations</x:v>
      </x:c>
      <x:c r="D19" s="23" t="str">
        <x:v>Atomic failure and retry</x:v>
      </x:c>
      <x:c r="E19" s="23" t="str">
        <x:v>Inject approved link-stage validation/conflict failure</x:v>
      </x:c>
      <x:c r="F19" s="23" t="str">
        <x:v>Submit create; correct issue; retry</x:v>
      </x:c>
      <x:c r="G19" s="23" t="str">
        <x:v>First failure leaves no hidden partial state; retry creates one result only</x:v>
      </x:c>
      <x:c r="H19" s="23" t="str">
        <x:v>Production-like UAT</x:v>
      </x:c>
      <x:c r="I19" s="23" t="str">
        <x:v>Not Run</x:v>
      </x:c>
      <x:c r="J19" s="32" t="str"/>
      <x:c r="K19" s="23" t="str"/>
      <x:c r="L19" s="23" t="str">
        <x:v>Not Run</x:v>
      </x:c>
      <x:c r="M19" s="23" t="str">
        <x:v>Technical Owner</x:v>
      </x:c>
    </x:row>
    <x:row r="20">
      <x:c r="A20" s="23" t="str">
        <x:v>UAT-015</x:v>
      </x:c>
      <x:c r="B20" s="23" t="str">
        <x:v>Multi-Branch HR Admin</x:v>
      </x:c>
      <x:c r="C20" s="23" t="str">
        <x:v>Designations</x:v>
      </x:c>
      <x:c r="D20" s="23" t="str">
        <x:v>Branch-specific Department selection</x:v>
      </x:c>
      <x:c r="E20" s="23" t="str">
        <x:v>Same Department name exists in two Branches</x:v>
      </x:c>
      <x:c r="F20" s="23" t="str">
        <x:v>Select Company and Branch; inspect Department options; attempt cross-Branch direct request</x:v>
      </x:c>
      <x:c r="G20" s="23" t="str">
        <x:v>Options show Branch identity; mismatched request fails before any write</x:v>
      </x:c>
      <x:c r="H20" s="23" t="str">
        <x:v>Production-like UAT</x:v>
      </x:c>
      <x:c r="I20" s="23" t="str">
        <x:v>Not Run</x:v>
      </x:c>
      <x:c r="J20" s="32" t="str"/>
      <x:c r="K20" s="23" t="str"/>
      <x:c r="L20" s="23" t="str">
        <x:v>Not Run</x:v>
      </x:c>
      <x:c r="M20" s="23" t="str">
        <x:v>Security</x:v>
      </x:c>
    </x:row>
    <x:row r="21">
      <x:c r="A21" s="23" t="str">
        <x:v>UAT-016</x:v>
      </x:c>
      <x:c r="B21" s="23" t="str">
        <x:v>HR Admin</x:v>
      </x:c>
      <x:c r="C21" s="23" t="str">
        <x:v>Onboarding Templates</x:v>
      </x:c>
      <x:c r="D21" s="23" t="str">
        <x:v>Template authoring and publication</x:v>
      </x:c>
      <x:c r="E21" s="23" t="str">
        <x:v>Active linked Designation</x:v>
      </x:c>
      <x:c r="F21" s="23" t="str">
        <x:v>Add group/tasks/dependencies; validate issues; correct; publish</x:v>
      </x:c>
      <x:c r="G21" s="23" t="str">
        <x:v>Hierarchy and blockers are clear; zero-task template cannot be labelled ready</x:v>
      </x:c>
      <x:c r="H21" s="23" t="str">
        <x:v>Production-like UAT</x:v>
      </x:c>
      <x:c r="I21" s="23" t="str">
        <x:v>Not Run</x:v>
      </x:c>
      <x:c r="J21" s="32" t="str"/>
      <x:c r="K21" s="23" t="str"/>
      <x:c r="L21" s="23" t="str">
        <x:v>Not Run</x:v>
      </x:c>
      <x:c r="M21" s="23" t="str">
        <x:v>HR Owner</x:v>
      </x:c>
    </x:row>
    <x:row r="22">
      <x:c r="A22" s="23" t="str">
        <x:v>UAT-017</x:v>
      </x:c>
      <x:c r="B22" s="23" t="str">
        <x:v>HR Admin</x:v>
      </x:c>
      <x:c r="C22" s="23" t="str">
        <x:v>Onboarding</x:v>
      </x:c>
      <x:c r="D22" s="23" t="str">
        <x:v>Start preflight and idempotency</x:v>
      </x:c>
      <x:c r="E22" s="23" t="str">
        <x:v>Published matching Designation template</x:v>
      </x:c>
      <x:c r="F22" s="23" t="str">
        <x:v>Start Employee onboarding twice</x:v>
      </x:c>
      <x:c r="G22" s="23" t="str">
        <x:v>Template resolves automatically; one onboarding instance and snapshot exist</x:v>
      </x:c>
      <x:c r="H22" s="23" t="str">
        <x:v>Production-like UAT</x:v>
      </x:c>
      <x:c r="I22" s="23" t="str">
        <x:v>Not Run</x:v>
      </x:c>
      <x:c r="J22" s="32" t="str"/>
      <x:c r="K22" s="23" t="str"/>
      <x:c r="L22" s="23" t="str">
        <x:v>Not Run</x:v>
      </x:c>
      <x:c r="M22" s="23" t="str">
        <x:v>HR Owner</x:v>
      </x:c>
    </x:row>
    <x:row r="23">
      <x:c r="A23" s="23" t="str">
        <x:v>UAT-018</x:v>
      </x:c>
      <x:c r="B23" s="23" t="str">
        <x:v>Employee and Department Assignee</x:v>
      </x:c>
      <x:c r="C23" s="23" t="str">
        <x:v>Onboarding</x:v>
      </x:c>
      <x:c r="D23" s="23" t="str">
        <x:v>Task execution and dependencies</x:v>
      </x:c>
      <x:c r="E23" s="23" t="str">
        <x:v>Running onboarding with dependent tasks</x:v>
      </x:c>
      <x:c r="F23" s="23" t="str">
        <x:v>Assign, start, attempt early complete, complete prerequisite, resubmit</x:v>
      </x:c>
      <x:c r="G23" s="23" t="str">
        <x:v>Only authorized actor acts; dependencies and next owner are visible</x:v>
      </x:c>
      <x:c r="H23" s="23" t="str">
        <x:v>Production-like UAT</x:v>
      </x:c>
      <x:c r="I23" s="23" t="str">
        <x:v>Not Run</x:v>
      </x:c>
      <x:c r="J23" s="32" t="str"/>
      <x:c r="K23" s="23" t="str"/>
      <x:c r="L23" s="23" t="str">
        <x:v>Not Run</x:v>
      </x:c>
      <x:c r="M23" s="23" t="str">
        <x:v>HR Owner</x:v>
      </x:c>
    </x:row>
    <x:row r="24">
      <x:c r="A24" s="23" t="str">
        <x:v>UAT-019</x:v>
      </x:c>
      <x:c r="B24" s="23" t="str">
        <x:v>HR and Asset Custodian</x:v>
      </x:c>
      <x:c r="C24" s="23" t="str">
        <x:v>Onboarding</x:v>
      </x:c>
      <x:c r="D24" s="23" t="str">
        <x:v>Asset task and final activation</x:v>
      </x:c>
      <x:c r="E24" s="23" t="str">
        <x:v>Available scoped Asset</x:v>
      </x:c>
      <x:c r="F24" s="23" t="str">
        <x:v>Fulfil asset task; complete remaining tasks; finalize</x:v>
      </x:c>
      <x:c r="G24" s="23" t="str">
        <x:v>Custody and task reconcile; Employee status changes once after all mandatory work</x:v>
      </x:c>
      <x:c r="H24" s="23" t="str">
        <x:v>Production-like UAT</x:v>
      </x:c>
      <x:c r="I24" s="23" t="str">
        <x:v>Not Run</x:v>
      </x:c>
      <x:c r="J24" s="32" t="str"/>
      <x:c r="K24" s="23" t="str"/>
      <x:c r="L24" s="23" t="str">
        <x:v>Not Run</x:v>
      </x:c>
      <x:c r="M24" s="23" t="str">
        <x:v>HR and Asset Owners</x:v>
      </x:c>
    </x:row>
    <x:row r="25">
      <x:c r="A25" s="23" t="str">
        <x:v>UAT-020</x:v>
      </x:c>
      <x:c r="B25" s="23" t="str">
        <x:v>Operations</x:v>
      </x:c>
      <x:c r="C25" s="23" t="str">
        <x:v>Onboarding Reminders</x:v>
      </x:c>
      <x:c r="D25" s="23" t="str">
        <x:v>More than 200 due tasks</x:v>
      </x:c>
      <x:c r="E25" s="23" t="str">
        <x:v>Stable pagination fix deployed</x:v>
      </x:c>
      <x:c r="F25" s="23" t="str">
        <x:v>Run reminder job; interrupt/restart; run again</x:v>
      </x:c>
      <x:c r="G25" s="23" t="str">
        <x:v>Every eligible task is eventually processed; no tenant starvation or duplicate receipt</x:v>
      </x:c>
      <x:c r="H25" s="23" t="str">
        <x:v>Production-like UAT</x:v>
      </x:c>
      <x:c r="I25" s="23" t="str">
        <x:v>Not Run</x:v>
      </x:c>
      <x:c r="J25" s="32" t="str"/>
      <x:c r="K25" s="23" t="str"/>
      <x:c r="L25" s="23" t="str">
        <x:v>Not Run</x:v>
      </x:c>
      <x:c r="M25" s="23" t="str">
        <x:v>Operations</x:v>
      </x:c>
    </x:row>
    <x:row r="26">
      <x:c r="A26" s="23" t="str">
        <x:v>UAT-021</x:v>
      </x:c>
      <x:c r="B26" s="23" t="str">
        <x:v>HR Admin</x:v>
      </x:c>
      <x:c r="C26" s="23" t="str">
        <x:v>Employees</x:v>
      </x:c>
      <x:c r="D26" s="23" t="str">
        <x:v>Directory scale and scope</x:v>
      </x:c>
      <x:c r="E26" s="23" t="str">
        <x:v>More than one page; two Companies</x:v>
      </x:c>
      <x:c r="F26" s="23" t="str">
        <x:v>Search, sort, filter, page, refresh and return from detail</x:v>
      </x:c>
      <x:c r="G26" s="23" t="str">
        <x:v>Counts and rows remain stable; no Tenant B record appears</x:v>
      </x:c>
      <x:c r="H26" s="23" t="str">
        <x:v>Production-like UAT</x:v>
      </x:c>
      <x:c r="I26" s="23" t="str">
        <x:v>Not Run</x:v>
      </x:c>
      <x:c r="J26" s="32" t="str"/>
      <x:c r="K26" s="23" t="str"/>
      <x:c r="L26" s="23" t="str">
        <x:v>Not Run</x:v>
      </x:c>
      <x:c r="M26" s="23" t="str">
        <x:v>HR Owner</x:v>
      </x:c>
    </x:row>
    <x:row r="27">
      <x:c r="A27" s="23" t="str">
        <x:v>UAT-022</x:v>
      </x:c>
      <x:c r="B27" s="23" t="str">
        <x:v>HR Viewer</x:v>
      </x:c>
      <x:c r="C27" s="23" t="str">
        <x:v>Employees</x:v>
      </x:c>
      <x:c r="D27" s="23" t="str">
        <x:v>Read-only action visibility</x:v>
      </x:c>
      <x:c r="E27" s="23" t="str">
        <x:v>Read-only permissions</x:v>
      </x:c>
      <x:c r="F27" s="23" t="str">
        <x:v>Open list/profile/edit direct URL</x:v>
      </x:c>
      <x:c r="G27" s="23" t="str">
        <x:v>No mutation control renders; direct edit is safely denied</x:v>
      </x:c>
      <x:c r="H27" s="23" t="str">
        <x:v>Production-like UAT</x:v>
      </x:c>
      <x:c r="I27" s="23" t="str">
        <x:v>Not Run</x:v>
      </x:c>
      <x:c r="J27" s="32" t="str"/>
      <x:c r="K27" s="23" t="str"/>
      <x:c r="L27" s="23" t="str">
        <x:v>Not Run</x:v>
      </x:c>
      <x:c r="M27" s="23" t="str">
        <x:v>Security</x:v>
      </x:c>
    </x:row>
    <x:row r="28">
      <x:c r="A28" s="23" t="str">
        <x:v>UAT-023</x:v>
      </x:c>
      <x:c r="B28" s="23" t="str">
        <x:v>Document Admin and Employee</x:v>
      </x:c>
      <x:c r="C28" s="23" t="str">
        <x:v>Employee Documents</x:v>
      </x:c>
      <x:c r="D28" s="23" t="str">
        <x:v>Clean upload through download</x:v>
      </x:c>
      <x:c r="E28" s="23" t="str">
        <x:v>Private S3 and ClamAV healthy</x:v>
      </x:c>
      <x:c r="F28" s="23" t="str">
        <x:v>Register; upload clean file; scan; verify; Employee download</x:v>
      </x:c>
      <x:c r="G28" s="23" t="str">
        <x:v>Only CLEAN verified document is downloadable by authorized Employee</x:v>
      </x:c>
      <x:c r="H28" s="23" t="str">
        <x:v>Production-like UAT</x:v>
      </x:c>
      <x:c r="I28" s="23" t="str">
        <x:v>Not Run</x:v>
      </x:c>
      <x:c r="J28" s="32" t="str"/>
      <x:c r="K28" s="23" t="str"/>
      <x:c r="L28" s="23" t="str">
        <x:v>Not Run</x:v>
      </x:c>
      <x:c r="M28" s="23" t="str">
        <x:v>HR Owner</x:v>
      </x:c>
    </x:row>
    <x:row r="29">
      <x:c r="A29" s="23" t="str">
        <x:v>UAT-024</x:v>
      </x:c>
      <x:c r="B29" s="23" t="str">
        <x:v>Document Admin</x:v>
      </x:c>
      <x:c r="C29" s="23" t="str">
        <x:v>Employee Documents</x:v>
      </x:c>
      <x:c r="D29" s="23" t="str">
        <x:v>Infected file and scanner outage</x:v>
      </x:c>
      <x:c r="E29" s="23" t="str">
        <x:v>Controlled scanner test files</x:v>
      </x:c>
      <x:c r="F29" s="23" t="str">
        <x:v>Upload infected; simulate approved scanner outage; retry</x:v>
      </x:c>
      <x:c r="G29" s="23" t="str">
        <x:v>No unsafe download; clear status and recoverable retry; no duplicate document</x:v>
      </x:c>
      <x:c r="H29" s="23" t="str">
        <x:v>Production-like UAT</x:v>
      </x:c>
      <x:c r="I29" s="23" t="str">
        <x:v>Not Run</x:v>
      </x:c>
      <x:c r="J29" s="32" t="str"/>
      <x:c r="K29" s="23" t="str"/>
      <x:c r="L29" s="23" t="str">
        <x:v>Not Run</x:v>
      </x:c>
      <x:c r="M29" s="23" t="str">
        <x:v>Security</x:v>
      </x:c>
    </x:row>
    <x:row r="30">
      <x:c r="A30" s="23" t="str">
        <x:v>UAT-025</x:v>
      </x:c>
      <x:c r="B30" s="23" t="str">
        <x:v>Recruiter and Candidate</x:v>
      </x:c>
      <x:c r="C30" s="23" t="str">
        <x:v>Recruitment</x:v>
      </x:c>
      <x:c r="D30" s="23" t="str">
        <x:v>Opening and public application</x:v>
      </x:c>
      <x:c r="E30" s="23" t="str">
        <x:v>Public Careers, anti-abuse and storage ready</x:v>
      </x:c>
      <x:c r="F30" s="23" t="str">
        <x:v>Draft/publish Opening; Candidate submits application and resume</x:v>
      </x:c>
      <x:c r="G30" s="23" t="str">
        <x:v>Only valid published Opening accepts; receipt is safe; file reaches required scan state</x:v>
      </x:c>
      <x:c r="H30" s="23" t="str">
        <x:v>Production-like UAT</x:v>
      </x:c>
      <x:c r="I30" s="23" t="str">
        <x:v>Not Run</x:v>
      </x:c>
      <x:c r="J30" s="32" t="str"/>
      <x:c r="K30" s="23" t="str"/>
      <x:c r="L30" s="23" t="str">
        <x:v>Not Run</x:v>
      </x:c>
      <x:c r="M30" s="23" t="str">
        <x:v>Recruitment Owner</x:v>
      </x:c>
    </x:row>
    <x:row r="31">
      <x:c r="A31" s="23" t="str">
        <x:v>UAT-026</x:v>
      </x:c>
      <x:c r="B31" s="23" t="str">
        <x:v>Interviewer and Hiring Manager</x:v>
      </x:c>
      <x:c r="C31" s="23" t="str">
        <x:v>Recruitment</x:v>
      </x:c>
      <x:c r="D31" s="23" t="str">
        <x:v>Interview through decision</x:v>
      </x:c>
      <x:c r="E31" s="23" t="str">
        <x:v>Shortlisted Candidate and panel</x:v>
      </x:c>
      <x:c r="F31" s="23" t="str">
        <x:v>Schedule; evaluate; compare; select</x:v>
      </x:c>
      <x:c r="G31" s="23" t="str">
        <x:v>Only assigned roles act; lifecycle owner and next action remain clear; decision is unique</x:v>
      </x:c>
      <x:c r="H31" s="23" t="str">
        <x:v>Production-like UAT</x:v>
      </x:c>
      <x:c r="I31" s="23" t="str">
        <x:v>Not Run</x:v>
      </x:c>
      <x:c r="J31" s="32" t="str"/>
      <x:c r="K31" s="23" t="str"/>
      <x:c r="L31" s="23" t="str">
        <x:v>Not Run</x:v>
      </x:c>
      <x:c r="M31" s="23" t="str">
        <x:v>Recruitment Owner</x:v>
      </x:c>
    </x:row>
    <x:row r="32">
      <x:c r="A32" s="23" t="str">
        <x:v>UAT-027</x:v>
      </x:c>
      <x:c r="B32" s="23" t="str">
        <x:v>Recruiter, Candidate and Offer Verifier</x:v>
      </x:c>
      <x:c r="C32" s="23" t="str">
        <x:v>Recruitment</x:v>
      </x:c>
      <x:c r="D32" s="23" t="str">
        <x:v>Offer delivery and acceptance</x:v>
      </x:c>
      <x:c r="E32" s="23" t="str">
        <x:v>Delivery pilot and signed storage ready</x:v>
      </x:c>
      <x:c r="F32" s="23" t="str">
        <x:v>Compose/send; Candidate opens/signs; verifier reviews</x:v>
      </x:c>
      <x:c r="G32" s="23" t="str">
        <x:v>One valid link and response; expired/replayed link denied; signed file is private and verified</x:v>
      </x:c>
      <x:c r="H32" s="23" t="str">
        <x:v>Production-like UAT</x:v>
      </x:c>
      <x:c r="I32" s="23" t="str">
        <x:v>Not Run</x:v>
      </x:c>
      <x:c r="J32" s="32" t="str"/>
      <x:c r="K32" s="23" t="str"/>
      <x:c r="L32" s="23" t="str">
        <x:v>Not Run</x:v>
      </x:c>
      <x:c r="M32" s="23" t="str">
        <x:v>Recruitment Owner</x:v>
      </x:c>
    </x:row>
    <x:row r="33">
      <x:c r="A33" s="23" t="str">
        <x:v>UAT-028</x:v>
      </x:c>
      <x:c r="B33" s="23" t="str">
        <x:v>Recruiter and New Employee</x:v>
      </x:c>
      <x:c r="C33" s="23" t="str">
        <x:v>Recruitment Conversion</x:v>
      </x:c>
      <x:c r="D33" s="23" t="str">
        <x:v>Accepted Candidate conversion</x:v>
      </x:c>
      <x:c r="E33" s="23" t="str">
        <x:v>Conversion preflight passes</x:v>
      </x:c>
      <x:c r="F33" s="23" t="str">
        <x:v>Submit conversion twice; deliver invitation; sign in</x:v>
      </x:c>
      <x:c r="G33" s="23" t="str">
        <x:v>One Employee/User/career event; failed invitation is retryable; onboarding handoff is visible</x:v>
      </x:c>
      <x:c r="H33" s="23" t="str">
        <x:v>Production-like UAT</x:v>
      </x:c>
      <x:c r="I33" s="23" t="str">
        <x:v>Not Run</x:v>
      </x:c>
      <x:c r="J33" s="32" t="str"/>
      <x:c r="K33" s="23" t="str"/>
      <x:c r="L33" s="23" t="str">
        <x:v>Not Run</x:v>
      </x:c>
      <x:c r="M33" s="23" t="str">
        <x:v>HR Owner</x:v>
      </x:c>
    </x:row>
    <x:row r="34">
      <x:c r="A34" s="23" t="str">
        <x:v>UAT-029</x:v>
      </x:c>
      <x:c r="B34" s="23" t="str">
        <x:v>Calendar Maker and Reviewer</x:v>
      </x:c>
      <x:c r="C34" s="23" t="str">
        <x:v>Business Calendar</x:v>
      </x:c>
      <x:c r="D34" s="23" t="str">
        <x:v>Draft through publish</x:v>
      </x:c>
      <x:c r="E34" s="23" t="str">
        <x:v>Company and Branch ready</x:v>
      </x:c>
      <x:c r="F34" s="23" t="str">
        <x:v>Create version/events; submit; return/revise; publish</x:v>
      </x:c>
      <x:c r="G34" s="23" t="str">
        <x:v>Effective intervals and Branch-local dates are correct; maker-reviewer history is complete</x:v>
      </x:c>
      <x:c r="H34" s="23" t="str">
        <x:v>Production-like UAT</x:v>
      </x:c>
      <x:c r="I34" s="23" t="str">
        <x:v>Not Run</x:v>
      </x:c>
      <x:c r="J34" s="32" t="str"/>
      <x:c r="K34" s="23" t="str"/>
      <x:c r="L34" s="23" t="str">
        <x:v>Not Run</x:v>
      </x:c>
      <x:c r="M34" s="23" t="str">
        <x:v>HR Owner</x:v>
      </x:c>
    </x:row>
    <x:row r="35">
      <x:c r="A35" s="23" t="str">
        <x:v>UAT-030</x:v>
      </x:c>
      <x:c r="B35" s="23" t="str">
        <x:v>Schedule Admin</x:v>
      </x:c>
      <x:c r="C35" s="23" t="str">
        <x:v>Work Schedule</x:v>
      </x:c>
      <x:c r="D35" s="23" t="str">
        <x:v>Generate, override, publish and lock</x:v>
      </x:c>
      <x:c r="E35" s="23" t="str">
        <x:v>Published calendar and valid Shifts</x:v>
      </x:c>
      <x:c r="F35" s="23" t="str">
        <x:v>Generate roster; override; publish; lock; attempt mutation</x:v>
      </x:c>
      <x:c r="G35" s="23" t="str">
        <x:v>Workforce Calendar matches; locked roster rejects mutation with clear reason</x:v>
      </x:c>
      <x:c r="H35" s="23" t="str">
        <x:v>Production-like UAT</x:v>
      </x:c>
      <x:c r="I35" s="23" t="str">
        <x:v>Not Run</x:v>
      </x:c>
      <x:c r="J35" s="32" t="str"/>
      <x:c r="K35" s="23" t="str"/>
      <x:c r="L35" s="23" t="str">
        <x:v>Not Run</x:v>
      </x:c>
      <x:c r="M35" s="23" t="str">
        <x:v>HR Owner</x:v>
      </x:c>
    </x:row>
    <x:row r="36">
      <x:c r="A36" s="23" t="str">
        <x:v>UAT-031</x:v>
      </x:c>
      <x:c r="B36" s="23" t="str">
        <x:v>Employee</x:v>
      </x:c>
      <x:c r="C36" s="23" t="str">
        <x:v>Attendance</x:v>
      </x:c>
      <x:c r="D36" s="23" t="str">
        <x:v>Check-in/out retry and night shift</x:v>
      </x:c>
      <x:c r="E36" s="23" t="str">
        <x:v>Published schedule including night shift</x:v>
      </x:c>
      <x:c r="F36" s="23" t="str">
        <x:v>Check in/out; repeat clicks; test cross-midnight</x:v>
      </x:c>
      <x:c r="G36" s="23" t="str">
        <x:v>One authoritative punch per action; Branch date and shift are correct</x:v>
      </x:c>
      <x:c r="H36" s="23" t="str">
        <x:v>Production-like UAT</x:v>
      </x:c>
      <x:c r="I36" s="23" t="str">
        <x:v>Not Run</x:v>
      </x:c>
      <x:c r="J36" s="32" t="str"/>
      <x:c r="K36" s="23" t="str"/>
      <x:c r="L36" s="23" t="str">
        <x:v>Not Run</x:v>
      </x:c>
      <x:c r="M36" s="23" t="str">
        <x:v>HR Owner</x:v>
      </x:c>
    </x:row>
    <x:row r="37">
      <x:c r="A37" s="23" t="str">
        <x:v>UAT-032</x:v>
      </x:c>
      <x:c r="B37" s="23" t="str">
        <x:v>HR Attendance Admin</x:v>
      </x:c>
      <x:c r="C37" s="23" t="str">
        <x:v>Attendance</x:v>
      </x:c>
      <x:c r="D37" s="23" t="str">
        <x:v>Rows beyond 100 and correction</x:v>
      </x:c>
      <x:c r="E37" s="23" t="str">
        <x:v>More than 100 daily records</x:v>
      </x:c>
      <x:c r="F37" s="23" t="str">
        <x:v>Filter/page to row 101; correct with reason; create stale conflict</x:v>
      </x:c>
      <x:c r="G37" s="23" t="str">
        <x:v>All records reachable; permission and audit correct; input survives conflict</x:v>
      </x:c>
      <x:c r="H37" s="23" t="str">
        <x:v>Production-like UAT</x:v>
      </x:c>
      <x:c r="I37" s="23" t="str">
        <x:v>Not Run</x:v>
      </x:c>
      <x:c r="J37" s="32" t="str"/>
      <x:c r="K37" s="23" t="str"/>
      <x:c r="L37" s="23" t="str">
        <x:v>Not Run</x:v>
      </x:c>
      <x:c r="M37" s="23" t="str">
        <x:v>HR Owner</x:v>
      </x:c>
    </x:row>
    <x:row r="38">
      <x:c r="A38" s="23" t="str">
        <x:v>UAT-033</x:v>
      </x:c>
      <x:c r="B38" s="23" t="str">
        <x:v>Employee, Manager and HR</x:v>
      </x:c>
      <x:c r="C38" s="23" t="str">
        <x:v>Attendance</x:v>
      </x:c>
      <x:c r="D38" s="23" t="str">
        <x:v>Exception and period close</x:v>
      </x:c>
      <x:c r="E38" s="23" t="str">
        <x:v>Missing punch and submitted regularization</x:v>
      </x:c>
      <x:c r="F38" s="23" t="str">
        <x:v>Submit; review; attempt close with blocker; resolve; lock/close</x:v>
      </x:c>
      <x:c r="G38" s="23" t="str">
        <x:v>Named owner/action visible; close only after blockers resolve</x:v>
      </x:c>
      <x:c r="H38" s="23" t="str">
        <x:v>Production-like UAT</x:v>
      </x:c>
      <x:c r="I38" s="23" t="str">
        <x:v>Not Run</x:v>
      </x:c>
      <x:c r="J38" s="32" t="str"/>
      <x:c r="K38" s="23" t="str"/>
      <x:c r="L38" s="23" t="str">
        <x:v>Not Run</x:v>
      </x:c>
      <x:c r="M38" s="23" t="str">
        <x:v>Payroll Owner</x:v>
      </x:c>
    </x:row>
    <x:row r="39">
      <x:c r="A39" s="23" t="str">
        <x:v>UAT-034</x:v>
      </x:c>
      <x:c r="B39" s="23" t="str">
        <x:v>Employee, Manager and HR</x:v>
      </x:c>
      <x:c r="C39" s="23" t="str">
        <x:v>Leave</x:v>
      </x:c>
      <x:c r="D39" s="23" t="str">
        <x:v>Preview, request and two-stage approval</x:v>
      </x:c>
      <x:c r="E39" s="23" t="str">
        <x:v>Policy and balances generated</x:v>
      </x:c>
      <x:c r="F39" s="23" t="str">
        <x:v>Preview days/balance; save Draft; Submit; manager and HR decide</x:v>
      </x:c>
      <x:c r="G39" s="23" t="str">
        <x:v>Preview equals final; balance reserves/releases once; calendar and Attendance reconcile</x:v>
      </x:c>
      <x:c r="H39" s="23" t="str">
        <x:v>Production-like UAT</x:v>
      </x:c>
      <x:c r="I39" s="23" t="str">
        <x:v>Not Run</x:v>
      </x:c>
      <x:c r="J39" s="32" t="str"/>
      <x:c r="K39" s="23" t="str"/>
      <x:c r="L39" s="23" t="str">
        <x:v>Not Run</x:v>
      </x:c>
      <x:c r="M39" s="23" t="str">
        <x:v>HR Owner</x:v>
      </x:c>
    </x:row>
    <x:row r="40">
      <x:c r="A40" s="23" t="str">
        <x:v>UAT-035</x:v>
      </x:c>
      <x:c r="B40" s="23" t="str">
        <x:v>Manager and Employee</x:v>
      </x:c>
      <x:c r="C40" s="23" t="str">
        <x:v>Overtime and Comp-off</x:v>
      </x:c>
      <x:c r="D40" s="23" t="str">
        <x:v>Overtime settlement and credit use</x:v>
      </x:c>
      <x:c r="E40" s="23" t="str">
        <x:v>Eligible approved Attendance</x:v>
      </x:c>
      <x:c r="F40" s="23" t="str">
        <x:v>Submit Overtime; approve to Comp-off; use credit; test concurrent use</x:v>
      </x:c>
      <x:c r="G40" s="23" t="str">
        <x:v>One settlement; credit cannot be overused; ledger and Leave agree</x:v>
      </x:c>
      <x:c r="H40" s="23" t="str">
        <x:v>Production-like UAT</x:v>
      </x:c>
      <x:c r="I40" s="23" t="str">
        <x:v>Not Run</x:v>
      </x:c>
      <x:c r="J40" s="32" t="str"/>
      <x:c r="K40" s="23" t="str"/>
      <x:c r="L40" s="23" t="str">
        <x:v>Not Run</x:v>
      </x:c>
      <x:c r="M40" s="23" t="str">
        <x:v>HR and Payroll Owners</x:v>
      </x:c>
    </x:row>
    <x:row r="41">
      <x:c r="A41" s="23" t="str">
        <x:v>UAT-036</x:v>
      </x:c>
      <x:c r="B41" s="23" t="str">
        <x:v>Asset Admin and Custodian</x:v>
      </x:c>
      <x:c r="C41" s="23" t="str">
        <x:v>Assets</x:v>
      </x:c>
      <x:c r="D41" s="23" t="str">
        <x:v>Inventory and physical assignment</x:v>
      </x:c>
      <x:c r="E41" s="23" t="str">
        <x:v>Taxonomy, grant and Employee ready</x:v>
      </x:c>
      <x:c r="F41" s="23" t="str">
        <x:v>Create inventory; assign; acknowledge; return</x:v>
      </x:c>
      <x:c r="G41" s="23" t="str">
        <x:v>One open custody; every reason/history visible; Employee and Asset views reconcile</x:v>
      </x:c>
      <x:c r="H41" s="23" t="str">
        <x:v>Production-like UAT</x:v>
      </x:c>
      <x:c r="I41" s="23" t="str">
        <x:v>Not Run</x:v>
      </x:c>
      <x:c r="J41" s="32" t="str"/>
      <x:c r="K41" s="23" t="str"/>
      <x:c r="L41" s="23" t="str">
        <x:v>Not Run</x:v>
      </x:c>
      <x:c r="M41" s="23" t="str">
        <x:v>Asset Owner</x:v>
      </x:c>
    </x:row>
    <x:row r="42">
      <x:c r="A42" s="23" t="str">
        <x:v>UAT-037</x:v>
      </x:c>
      <x:c r="B42" s="23" t="str">
        <x:v>Licence Admin</x:v>
      </x:c>
      <x:c r="C42" s="23" t="str">
        <x:v>Assets</x:v>
      </x:c>
      <x:c r="D42" s="23" t="str">
        <x:v>Licence capacity and concurrency</x:v>
      </x:c>
      <x:c r="E42" s="23" t="str">
        <x:v>Licence Pool with limited seats</x:v>
      </x:c>
      <x:c r="F42" s="23" t="str">
        <x:v>Allocate final seat concurrently; resize below usage; revoke with reason</x:v>
      </x:c>
      <x:c r="G42" s="23" t="str">
        <x:v>One winner; capacity never exceeded; invalid resize blocked and audited</x:v>
      </x:c>
      <x:c r="H42" s="23" t="str">
        <x:v>Production-like UAT</x:v>
      </x:c>
      <x:c r="I42" s="23" t="str">
        <x:v>Not Run</x:v>
      </x:c>
      <x:c r="J42" s="32" t="str"/>
      <x:c r="K42" s="23" t="str"/>
      <x:c r="L42" s="23" t="str">
        <x:v>Not Run</x:v>
      </x:c>
      <x:c r="M42" s="23" t="str">
        <x:v>Asset Owner</x:v>
      </x:c>
    </x:row>
    <x:row r="43">
      <x:c r="A43" s="23" t="str">
        <x:v>UAT-038</x:v>
      </x:c>
      <x:c r="B43" s="23" t="str">
        <x:v>HR and Asset Custodian</x:v>
      </x:c>
      <x:c r="C43" s="23" t="str">
        <x:v>Separation</x:v>
      </x:c>
      <x:c r="D43" s="23" t="str">
        <x:v>Clearance and waiver</x:v>
      </x:c>
      <x:c r="E43" s="23" t="str">
        <x:v>Employee with physical and licence custody</x:v>
      </x:c>
      <x:c r="F43" s="23" t="str">
        <x:v>Initiate separation; clear departments; resolve/waive Assets; finalize</x:v>
      </x:c>
      <x:c r="G43" s="23" t="str">
        <x:v>Completion blocked until valid resolution; sessions revoked once; history retained</x:v>
      </x:c>
      <x:c r="H43" s="23" t="str">
        <x:v>Production-like UAT</x:v>
      </x:c>
      <x:c r="I43" s="23" t="str">
        <x:v>Not Run</x:v>
      </x:c>
      <x:c r="J43" s="32" t="str"/>
      <x:c r="K43" s="23" t="str"/>
      <x:c r="L43" s="23" t="str">
        <x:v>Not Run</x:v>
      </x:c>
      <x:c r="M43" s="23" t="str">
        <x:v>HR Owner</x:v>
      </x:c>
    </x:row>
    <x:row r="44">
      <x:c r="A44" s="23" t="str">
        <x:v>UAT-039</x:v>
      </x:c>
      <x:c r="B44" s="23" t="str">
        <x:v>Employee, Approver and HR</x:v>
      </x:c>
      <x:c r="C44" s="23" t="str">
        <x:v>HR Requests</x:v>
      </x:c>
      <x:c r="D44" s="23" t="str">
        <x:v>Request with secure attachment</x:v>
      </x:c>
      <x:c r="E44" s="23" t="str">
        <x:v>Active Request Type and provider readiness</x:v>
      </x:c>
      <x:c r="F44" s="23" t="str">
        <x:v>Create; scan; submit; approve; fulfil; complete</x:v>
      </x:c>
      <x:c r="G44" s="23" t="str">
        <x:v>Row, attachment, named stage, owner and history remain visible; only assigned actors act</x:v>
      </x:c>
      <x:c r="H44" s="23" t="str">
        <x:v>Production-like UAT</x:v>
      </x:c>
      <x:c r="I44" s="23" t="str">
        <x:v>Not Run</x:v>
      </x:c>
      <x:c r="J44" s="32" t="str"/>
      <x:c r="K44" s="23" t="str"/>
      <x:c r="L44" s="23" t="str">
        <x:v>Not Run</x:v>
      </x:c>
      <x:c r="M44" s="23" t="str">
        <x:v>HR Owner</x:v>
      </x:c>
    </x:row>
    <x:row r="45">
      <x:c r="A45" s="23" t="str">
        <x:v>UAT-040</x:v>
      </x:c>
      <x:c r="B45" s="23" t="str">
        <x:v>Project Manager and Employee</x:v>
      </x:c>
      <x:c r="C45" s="23" t="str">
        <x:v>Projects</x:v>
      </x:c>
      <x:c r="D45" s="23" t="str">
        <x:v>Internal Project task lifecycle</x:v>
      </x:c>
      <x:c r="E45" s="23" t="str">
        <x:v>Project module and Employees ready</x:v>
      </x:c>
      <x:c r="F45" s="23" t="str">
        <x:v>Create/configure/activate; execute task; upload evidence; return/resubmit/complete</x:v>
      </x:c>
      <x:c r="G45" s="23" t="str">
        <x:v>Eligibility, evidence and state transitions are authorized and auditable</x:v>
      </x:c>
      <x:c r="H45" s="23" t="str">
        <x:v>Production-like UAT</x:v>
      </x:c>
      <x:c r="I45" s="23" t="str">
        <x:v>Not Run</x:v>
      </x:c>
      <x:c r="J45" s="32" t="str"/>
      <x:c r="K45" s="23" t="str"/>
      <x:c r="L45" s="23" t="str">
        <x:v>Not Run</x:v>
      </x:c>
      <x:c r="M45" s="23" t="str">
        <x:v>Project Owner</x:v>
      </x:c>
    </x:row>
    <x:row r="46">
      <x:c r="A46" s="23" t="str">
        <x:v>UAT-041</x:v>
      </x:c>
      <x:c r="B46" s="23" t="str">
        <x:v>Employee and Reporting Manager</x:v>
      </x:c>
      <x:c r="C46" s="23" t="str">
        <x:v>Timesheets</x:v>
      </x:c>
      <x:c r="D46" s="23" t="str">
        <x:v>Weekly entry and approval</x:v>
      </x:c>
      <x:c r="E46" s="23" t="str">
        <x:v>Active Project task and Work Category</x:v>
      </x:c>
      <x:c r="F46" s="23" t="str">
        <x:v>Enter lines; Submit; Manager return; correct; resubmit; approve</x:v>
      </x:c>
      <x:c r="G46" s="23" t="str">
        <x:v>Totals, exactly-one target, limits, return reason and immutable approval pass</x:v>
      </x:c>
      <x:c r="H46" s="23" t="str">
        <x:v>Production-like UAT</x:v>
      </x:c>
      <x:c r="I46" s="23" t="str">
        <x:v>Not Run</x:v>
      </x:c>
      <x:c r="J46" s="32" t="str"/>
      <x:c r="K46" s="23" t="str"/>
      <x:c r="L46" s="23" t="str">
        <x:v>Not Run</x:v>
      </x:c>
      <x:c r="M46" s="23" t="str">
        <x:v>Project Owner</x:v>
      </x:c>
    </x:row>
    <x:row r="47">
      <x:c r="A47" s="23" t="str">
        <x:v>UAT-042</x:v>
      </x:c>
      <x:c r="B47" s="23" t="str">
        <x:v>Finance Maker and independent Approver</x:v>
      </x:c>
      <x:c r="C47" s="23" t="str">
        <x:v>Office Finance</x:v>
      </x:c>
      <x:c r="D47" s="23" t="str">
        <x:v>Transaction maker-checker and reversal</x:v>
      </x:c>
      <x:c r="E47" s="23" t="str">
        <x:v>Finance setup and open period</x:v>
      </x:c>
      <x:c r="F47" s="23" t="str">
        <x:v>Create Expense with clean receipt; submit; separate approve; reverse</x:v>
      </x:c>
      <x:c r="G47" s="23" t="str">
        <x:v>Maker cannot approve; approved row immutable; exactly one reversal; reports reconcile</x:v>
      </x:c>
      <x:c r="H47" s="23" t="str">
        <x:v>Production-like UAT</x:v>
      </x:c>
      <x:c r="I47" s="23" t="str">
        <x:v>Not Run</x:v>
      </x:c>
      <x:c r="J47" s="32" t="str"/>
      <x:c r="K47" s="23" t="str"/>
      <x:c r="L47" s="23" t="str">
        <x:v>Not Run</x:v>
      </x:c>
      <x:c r="M47" s="23" t="str">
        <x:v>Finance Owner</x:v>
      </x:c>
    </x:row>
    <x:row r="48">
      <x:c r="A48" s="23" t="str">
        <x:v>UAT-043</x:v>
      </x:c>
      <x:c r="B48" s="23" t="str">
        <x:v>Payroll Maker and independent Approver</x:v>
      </x:c>
      <x:c r="C48" s="23" t="str">
        <x:v>Payroll</x:v>
      </x:c>
      <x:c r="D48" s="23" t="str">
        <x:v>Calculate and approve</x:v>
      </x:c>
      <x:c r="E48" s="23" t="str">
        <x:v>Locked Attendance and all setup ready</x:v>
      </x:c>
      <x:c r="F48" s="23" t="str">
        <x:v>Create run; adjust; calculate; return/recalculate; separate approve</x:v>
      </x:c>
      <x:c r="G48" s="23" t="str">
        <x:v>Snapshots and totals reconcile; source changes do not rewrite calculated version</x:v>
      </x:c>
      <x:c r="H48" s="23" t="str">
        <x:v>Production-like UAT</x:v>
      </x:c>
      <x:c r="I48" s="23" t="str">
        <x:v>Not Run</x:v>
      </x:c>
      <x:c r="J48" s="32" t="str"/>
      <x:c r="K48" s="23" t="str"/>
      <x:c r="L48" s="23" t="str">
        <x:v>Not Run</x:v>
      </x:c>
      <x:c r="M48" s="23" t="str">
        <x:v>Payroll Owner</x:v>
      </x:c>
    </x:row>
    <x:row r="49">
      <x:c r="A49" s="23" t="str">
        <x:v>UAT-044</x:v>
      </x:c>
      <x:c r="B49" s="23" t="str">
        <x:v>Payment Operator and Employee</x:v>
      </x:c>
      <x:c r="C49" s="23" t="str">
        <x:v>Payroll</x:v>
      </x:c>
      <x:c r="D49" s="23" t="str">
        <x:v>Concurrent Mark Paid and Payslip</x:v>
      </x:c>
      <x:c r="E49" s="23" t="str">
        <x:v>Approved run, account and workers ready</x:v>
      </x:c>
      <x:c r="F49" s="23" t="str">
        <x:v>Mark Paid concurrently; run Payslip worker; Employee download</x:v>
      </x:c>
      <x:c r="G49" s="23" t="str">
        <x:v>One Paid state, one aggregate Finance expense and one File Object per Payslip</x:v>
      </x:c>
      <x:c r="H49" s="23" t="str">
        <x:v>Production-like UAT</x:v>
      </x:c>
      <x:c r="I49" s="23" t="str">
        <x:v>Not Run</x:v>
      </x:c>
      <x:c r="J49" s="32" t="str"/>
      <x:c r="K49" s="23" t="str"/>
      <x:c r="L49" s="23" t="str">
        <x:v>Not Run</x:v>
      </x:c>
      <x:c r="M49" s="23" t="str">
        <x:v>Payroll Owner</x:v>
      </x:c>
    </x:row>
    <x:row r="50">
      <x:c r="A50" s="23" t="str">
        <x:v>UAT-045</x:v>
      </x:c>
      <x:c r="B50" s="23" t="str">
        <x:v>Platform Operator</x:v>
      </x:c>
      <x:c r="C50" s="23" t="str">
        <x:v>Operations</x:v>
      </x:c>
      <x:c r="D50" s="23" t="str">
        <x:v>Delivery retry/dead letter</x:v>
      </x:c>
      <x:c r="E50" s="23" t="str">
        <x:v>Provider sandbox and synthetic failure</x:v>
      </x:c>
      <x:c r="F50" s="23" t="str">
        <x:v>Fail delivery; inspect attempt; retry with reason; dead-letter and resolve</x:v>
      </x:c>
      <x:c r="G50" s="23" t="str">
        <x:v>Masked data, idempotent action, complete provider/audit history and correct alert</x:v>
      </x:c>
      <x:c r="H50" s="23" t="str">
        <x:v>Production-like UAT</x:v>
      </x:c>
      <x:c r="I50" s="23" t="str">
        <x:v>Not Run</x:v>
      </x:c>
      <x:c r="J50" s="32" t="str"/>
      <x:c r="K50" s="23" t="str"/>
      <x:c r="L50" s="23" t="str">
        <x:v>Not Run</x:v>
      </x:c>
      <x:c r="M50" s="23" t="str">
        <x:v>Operations</x:v>
      </x:c>
    </x:row>
    <x:row r="51">
      <x:c r="A51" s="23" t="str">
        <x:v>UAT-046</x:v>
      </x:c>
      <x:c r="B51" s="23" t="str">
        <x:v>File Operator</x:v>
      </x:c>
      <x:c r="C51" s="23" t="str">
        <x:v>File Operations</x:v>
      </x:c>
      <x:c r="D51" s="23" t="str">
        <x:v>Orphan and scan reconciliation</x:v>
      </x:c>
      <x:c r="E51" s="23" t="str">
        <x:v>Isolated UAT bucket with synthetic exception</x:v>
      </x:c>
      <x:c r="F51" s="23" t="str">
        <x:v>Inspect exception; preview; reconcile/retry</x:v>
      </x:c>
      <x:c r="G51" s="23" t="str">
        <x:v>Linked valid object is preserved; unsafe object never released; no object key leakage</x:v>
      </x:c>
      <x:c r="H51" s="23" t="str">
        <x:v>Production-like UAT</x:v>
      </x:c>
      <x:c r="I51" s="23" t="str">
        <x:v>Not Run</x:v>
      </x:c>
      <x:c r="J51" s="32" t="str"/>
      <x:c r="K51" s="23" t="str"/>
      <x:c r="L51" s="23" t="str">
        <x:v>Not Run</x:v>
      </x:c>
      <x:c r="M51" s="23" t="str">
        <x:v>Operations</x:v>
      </x:c>
    </x:row>
    <x:row r="52">
      <x:c r="A52" s="23" t="str">
        <x:v>UAT-047</x:v>
      </x:c>
      <x:c r="B52" s="23" t="str">
        <x:v>Retention Author and independent Approver</x:v>
      </x:c>
      <x:c r="C52" s="23" t="str">
        <x:v>Retention</x:v>
      </x:c>
      <x:c r="D52" s="23" t="str">
        <x:v>Draft, preview and approval</x:v>
      </x:c>
      <x:c r="E52" s="23" t="str">
        <x:v>Purge disabled</x:v>
      </x:c>
      <x:c r="F52" s="23" t="str">
        <x:v>Create policy; dry-run impact; approve with separate identity</x:v>
      </x:c>
      <x:c r="G52" s="23" t="str">
        <x:v>Author cannot self-approve; legal hold/linked records excluded; no deletion occurs</x:v>
      </x:c>
      <x:c r="H52" s="23" t="str">
        <x:v>Production-like UAT</x:v>
      </x:c>
      <x:c r="I52" s="23" t="str">
        <x:v>Not Run</x:v>
      </x:c>
      <x:c r="J52" s="32" t="str"/>
      <x:c r="K52" s="23" t="str"/>
      <x:c r="L52" s="23" t="str">
        <x:v>Not Run</x:v>
      </x:c>
      <x:c r="M52" s="23" t="str">
        <x:v>Security</x:v>
      </x:c>
    </x:row>
    <x:row r="53">
      <x:c r="A53" s="23" t="str">
        <x:v>UAT-048</x:v>
      </x:c>
      <x:c r="B53" s="23" t="str">
        <x:v>Unauthorized and Tenant B Users</x:v>
      </x:c>
      <x:c r="C53" s="23" t="str">
        <x:v>Tenant Isolation</x:v>
      </x:c>
      <x:c r="D53" s="23" t="str">
        <x:v>Direct-ID and context-switch denial</x:v>
      </x:c>
      <x:c r="E53" s="23" t="str">
        <x:v>Tenant A and Tenant B datasets</x:v>
      </x:c>
      <x:c r="F53" s="23" t="str">
        <x:v>Try lists, detail IDs, downloads, actions and stale links across tenants</x:v>
      </x:c>
      <x:c r="G53" s="23" t="str">
        <x:v>No foreign data in UI or network; safe 404/403; cache keys remain separated</x:v>
      </x:c>
      <x:c r="H53" s="23" t="str">
        <x:v>Production-like UAT</x:v>
      </x:c>
      <x:c r="I53" s="23" t="str">
        <x:v>Not Run</x:v>
      </x:c>
      <x:c r="J53" s="32" t="str"/>
      <x:c r="K53" s="23" t="str"/>
      <x:c r="L53" s="23" t="str">
        <x:v>Not Run</x:v>
      </x:c>
      <x:c r="M53" s="23" t="str">
        <x:v>Security</x:v>
      </x:c>
    </x:row>
    <x:row r="54">
      <x:c r="A54" s="23" t="str">
        <x:v>UAT-049</x:v>
      </x:c>
      <x:c r="B54" s="23" t="str">
        <x:v>All personas</x:v>
      </x:c>
      <x:c r="C54" s="23" t="str">
        <x:v>Accessibility and Responsive</x:v>
      </x:c>
      <x:c r="D54" s="23" t="str">
        <x:v>Keyboard, mobile and 200% zoom</x:v>
      </x:c>
      <x:c r="E54" s="23" t="str">
        <x:v>Representative create/list/detail/action flow per module</x:v>
      </x:c>
      <x:c r="F54" s="23" t="str">
        <x:v>Complete using keyboard; repeat at mobile/tablet and 200% zoom</x:v>
      </x:c>
      <x:c r="G54" s="23" t="str">
        <x:v>No clipped control, lost action, focus trap or inaccessible error/confirmation</x:v>
      </x:c>
      <x:c r="H54" s="23" t="str">
        <x:v>Production-like UAT</x:v>
      </x:c>
      <x:c r="I54" s="23" t="str">
        <x:v>Not Run</x:v>
      </x:c>
      <x:c r="J54" s="32" t="str"/>
      <x:c r="K54" s="23" t="str"/>
      <x:c r="L54" s="23" t="str">
        <x:v>Not Run</x:v>
      </x:c>
      <x:c r="M54" s="23" t="str">
        <x:v>UX Owner</x:v>
      </x:c>
    </x:row>
    <x:row r="55">
      <x:c r="A55" s="24" t="str">
        <x:v>UAT-050</x:v>
      </x:c>
      <x:c r="B55" s="24" t="str">
        <x:v>All named personas</x:v>
      </x:c>
      <x:c r="C55" s="24" t="str">
        <x:v>Golden Thread</x:v>
      </x:c>
      <x:c r="D55" s="24" t="str">
        <x:v>Integrated final regression</x:v>
      </x:c>
      <x:c r="E55" s="24" t="str">
        <x:v>All prior cases passed on one SHA</x:v>
      </x:c>
      <x:c r="F55" s="24" t="str">
        <x:v>Registration → Recruitment → Onboarding → Documents → Workforce → Assets → Project/Timesheet → Finance → Payroll/Payslip → isolation</x:v>
      </x:c>
      <x:c r="G55" s="24" t="str">
        <x:v>Entire bounded release passes without manual data repair; evidence and reconciliation reference one SHA</x:v>
      </x:c>
      <x:c r="H55" s="24" t="str">
        <x:v>Production-like UAT</x:v>
      </x:c>
      <x:c r="I55" s="24" t="str">
        <x:v>Not Run</x:v>
      </x:c>
      <x:c r="J55" s="33" t="str"/>
      <x:c r="K55" s="24" t="str"/>
      <x:c r="L55" s="24" t="str">
        <x:v>Not Run</x:v>
      </x:c>
      <x:c r="M55" s="24" t="str">
        <x:v>Business Owner</x:v>
      </x:c>
    </x:row>
  </x:sheetData>
  <x:conditionalFormatting sqref="I6:I55">
    <x:cfRule type="containsText" dxfId="7" priority="1" operator="containsText" text="Passed"/>
    <x:cfRule type="containsText" dxfId="8" priority="2" operator="containsText" text="Failed"/>
  </x:conditionalFormatting>
  <x:conditionalFormatting sqref="L6:L55">
    <x:cfRule type="containsText" dxfId="9" priority="3" operator="containsText" text="Passed"/>
    <x:cfRule type="containsText" dxfId="10" priority="4" operator="containsText" text="Failed"/>
  </x:conditionalFormatting>
  <x:dataValidations count="2">
    <x:dataValidation type="list" sqref="I6:I55">
      <x:formula1>"Not Run,In Progress,Passed,Failed,Blocked,Not Applicable"</x:formula1>
    </x:dataValidation>
    <x:dataValidation type="list" sqref="L6:L55">
      <x:formula1>"Not Run,In Progress,Passed,Failed,Blocked,Not Applicable"</x:formula1>
    </x:dataValidation>
  </x:dataValidations>
  <x:pageMargins left="0.7" right="0.7" top="0.75" bottom="0.75" header="0.3" footer="0.3"/>
  <x:tableParts count="1">
    <x:tablePart xmlns:r="http://schemas.openxmlformats.org/officeDocument/2006/relationships" r:id="R4761aab886bb4774"/>
  </x:tableParts>
</x:worksheet>
</file>

<file path=xl/worksheets/sheet5.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2" hidden="0" customWidth="1"/>
    <x:col min="2" max="2" width="10" hidden="0" customWidth="1"/>
    <x:col min="3" max="3" width="24" hidden="0" customWidth="1"/>
    <x:col min="4" max="4" width="47" hidden="0" customWidth="1"/>
    <x:col min="5" max="5" width="65" hidden="0" customWidth="1"/>
    <x:col min="6" max="6" width="15" hidden="0" customWidth="1"/>
    <x:col min="7" max="7" width="40" hidden="0" customWidth="1"/>
    <x:col min="8" max="8" width="18" hidden="0" customWidth="1"/>
    <x:col min="9" max="9" width="15" hidden="0" customWidth="1"/>
    <x:col min="10" max="10" width="20" hidden="0" customWidth="1"/>
    <x:col min="11" max="11" width="40" hidden="0" customWidth="1"/>
    <x:col min="12" max="12" width="18" hidden="0" customWidth="1"/>
    <x:col min="13" max="13" width="15" hidden="0" customWidth="1"/>
    <x:col min="14" max="14" width="25" hidden="0" customWidth="1"/>
    <x:col min="15" max="15" width="24" hidden="0" customWidth="1"/>
  </x:cols>
  <x:sheetData>
    <x:row r="1">
      <x:c r="A1" s="1" t="str">
        <x:v>Defects and retests</x:v>
      </x:c>
      <x:c r="B1" s="1"/>
      <x:c r="C1" s="1"/>
      <x:c r="D1" s="1"/>
      <x:c r="E1" s="1"/>
      <x:c r="F1" s="1"/>
      <x:c r="G1" s="1"/>
      <x:c r="H1" s="1"/>
      <x:c r="I1" s="1"/>
      <x:c r="J1" s="1"/>
      <x:c r="K1" s="1"/>
      <x:c r="L1" s="1"/>
      <x:c r="M1" s="1"/>
      <x:c r="N1" s="1"/>
      <x:c r="O1" s="1"/>
    </x:row>
    <x:row r="2">
      <x:c r="A2" s="2" t="str">
        <x:v>Recent source-review findings and evidence-controlled closure</x:v>
      </x:c>
      <x:c r="B2" s="2"/>
      <x:c r="C2" s="2"/>
      <x:c r="D2" s="2"/>
      <x:c r="E2" s="2"/>
      <x:c r="F2" s="2"/>
      <x:c r="G2" s="2"/>
      <x:c r="H2" s="2"/>
      <x:c r="I2" s="2"/>
      <x:c r="J2" s="2"/>
      <x:c r="K2" s="2"/>
      <x:c r="L2" s="2"/>
      <x:c r="M2" s="2"/>
      <x:c r="N2" s="2"/>
      <x:c r="O2" s="2"/>
    </x:row>
    <x:row r="3">
      <x:c r="A3" s="3" t="str">
        <x:v>A defect closes only after the fix and affected workflow are retested on the recorded SHA.</x:v>
      </x:c>
      <x:c r="B3" s="3"/>
      <x:c r="C3" s="3"/>
      <x:c r="D3" s="3"/>
      <x:c r="E3" s="3"/>
      <x:c r="F3" s="3"/>
      <x:c r="G3" s="3"/>
      <x:c r="H3" s="3"/>
      <x:c r="I3" s="3"/>
      <x:c r="J3" s="3"/>
      <x:c r="K3" s="3"/>
      <x:c r="L3" s="3"/>
      <x:c r="M3" s="3"/>
      <x:c r="N3" s="3"/>
      <x:c r="O3" s="3"/>
    </x:row>
    <x:row r="4" ht="4" customHeight="1">
      <x:c r="A4" s="4"/>
      <x:c r="B4" s="4"/>
      <x:c r="C4" s="4"/>
      <x:c r="D4" s="4"/>
      <x:c r="E4" s="4"/>
      <x:c r="F4" s="4"/>
      <x:c r="G4" s="4"/>
      <x:c r="H4" s="4"/>
      <x:c r="I4" s="4"/>
      <x:c r="J4" s="4"/>
      <x:c r="K4" s="4"/>
      <x:c r="L4" s="4"/>
      <x:c r="M4" s="4"/>
      <x:c r="N4" s="4"/>
      <x:c r="O4" s="4"/>
    </x:row>
    <x:row r="5" ht="36" customHeight="1">
      <x:c r="A5" s="16" t="str">
        <x:v>Defect ID</x:v>
      </x:c>
      <x:c r="B5" s="17" t="str">
        <x:v>Severity</x:v>
      </x:c>
      <x:c r="C5" s="17" t="str">
        <x:v>Module</x:v>
      </x:c>
      <x:c r="D5" s="17" t="str">
        <x:v>Location</x:v>
      </x:c>
      <x:c r="E5" s="17" t="str">
        <x:v>Summary</x:v>
      </x:c>
      <x:c r="F5" s="17" t="str">
        <x:v>Related task</x:v>
      </x:c>
      <x:c r="G5" s="17" t="str">
        <x:v>Found in SHA</x:v>
      </x:c>
      <x:c r="H5" s="17" t="str">
        <x:v>Found by</x:v>
      </x:c>
      <x:c r="I5" s="17" t="str">
        <x:v>Status</x:v>
      </x:c>
      <x:c r="J5" s="17" t="str">
        <x:v>Owner</x:v>
      </x:c>
      <x:c r="K5" s="17" t="str">
        <x:v>Fix SHA</x:v>
      </x:c>
      <x:c r="L5" s="17" t="str">
        <x:v>Retest case</x:v>
      </x:c>
      <x:c r="M5" s="17" t="str">
        <x:v>Retest status</x:v>
      </x:c>
      <x:c r="N5" s="17" t="str">
        <x:v>Evidence</x:v>
      </x:c>
      <x:c r="O5" s="18" t="str">
        <x:v>Release disposition</x:v>
      </x:c>
    </x:row>
    <x:row r="6">
      <x:c r="A6" s="22" t="str">
        <x:v>RF-001</x:v>
      </x:c>
      <x:c r="B6" s="22" t="str">
        <x:v>P1</x:v>
      </x:c>
      <x:c r="C6" s="22" t="str">
        <x:v>Delivery rollout</x:v>
      </x:c>
      <x:c r="D6" s="22" t="str">
        <x:v>backend/src/modules/delivery/delivery-claim.service.ts</x:v>
      </x:c>
      <x:c r="E6" s="22" t="str">
        <x:v>Environment Company allowlists could enable or disable Delivery inconsistently.</x:v>
      </x:c>
      <x:c r="F6" s="22" t="str">
        <x:v>Implementation</x:v>
      </x:c>
      <x:c r="G6" s="22" t="str">
        <x:v>Merged working tree</x:v>
      </x:c>
      <x:c r="H6" s="22" t="str">
        <x:v>Post-change entitlement audit</x:v>
      </x:c>
      <x:c r="I6" s="22" t="str">
        <x:v>Fixed</x:v>
      </x:c>
      <x:c r="J6" s="28" t="str">
        <x:v>Backend/Product</x:v>
      </x:c>
      <x:c r="K6" s="22" t="str">
        <x:v>Working tree</x:v>
      </x:c>
      <x:c r="L6" s="22" t="str">
        <x:v>Company entitlement replacement</x:v>
      </x:c>
      <x:c r="M6" s="22" t="str">
        <x:v>Passed</x:v>
      </x:c>
      <x:c r="N6" s="22" t="str">
        <x:v>20260918130000_company_module_entitlements; delivery entitlement tests</x:v>
      </x:c>
      <x:c r="O6" s="22" t="str">
        <x:v>Resolved; provider-backed recovery testing remains a release gate</x:v>
      </x:c>
    </x:row>
    <x:row r="7">
      <x:c r="A7" s="23" t="str">
        <x:v>RF-002</x:v>
      </x:c>
      <x:c r="B7" s="23" t="str">
        <x:v>P1</x:v>
      </x:c>
      <x:c r="C7" s="23" t="str">
        <x:v>Designations and Onboarding</x:v>
      </x:c>
      <x:c r="D7" s="23" t="str">
        <x:v>frontend/features/onboarding-template/components/onboarding-template-toolbar.tsx</x:v>
      </x:c>
      <x:c r="E7" s="23" t="str">
        <x:v>Create Designation could be visible to Onboarding users without organization structure permission.</x:v>
      </x:c>
      <x:c r="F7" s="23" t="str">
        <x:v>Implementation</x:v>
      </x:c>
      <x:c r="G7" s="23" t="str">
        <x:v>Merged working tree</x:v>
      </x:c>
      <x:c r="H7" s="23" t="str">
        <x:v>Permission and route audit</x:v>
      </x:c>
      <x:c r="I7" s="23" t="str">
        <x:v>Fixed</x:v>
      </x:c>
      <x:c r="J7" s="29" t="str">
        <x:v>Frontend/Security</x:v>
      </x:c>
      <x:c r="K7" s="23" t="str">
        <x:v>Working tree</x:v>
      </x:c>
      <x:c r="L7" s="23" t="str">
        <x:v>Permission-gated action plus destination denial</x:v>
      </x:c>
      <x:c r="M7" s="23" t="str">
        <x:v>Passed</x:v>
      </x:c>
      <x:c r="N7" s="23" t="str">
        <x:v>frontend onboarding toolbar and route guards; backend/.qa-runs/authenticated-smoke-playwright-20260918T104017949Z-9975f254.log</x:v>
      </x:c>
      <x:c r="O7" s="23" t="str">
        <x:v>Live-mutation onboarding journey remains Not Run</x:v>
      </x:c>
    </x:row>
    <x:row r="8">
      <x:c r="A8" s="23" t="str">
        <x:v>RF-003</x:v>
      </x:c>
      <x:c r="B8" s="23" t="str">
        <x:v>P1</x:v>
      </x:c>
      <x:c r="C8" s="23" t="str">
        <x:v>Onboarding entitlement gate</x:v>
      </x:c>
      <x:c r="D8" s="23" t="str">
        <x:v>frontend and backend onboarding capability guards</x:v>
      </x:c>
      <x:c r="E8" s="23" t="str">
        <x:v>Onboarding controls and linking paths could bypass a disabled or restricted Company capability.</x:v>
      </x:c>
      <x:c r="F8" s="23" t="str">
        <x:v>Implementation</x:v>
      </x:c>
      <x:c r="G8" s="23" t="str">
        <x:v>Merged working tree</x:v>
      </x:c>
      <x:c r="H8" s="23" t="str">
        <x:v>Guard and route audit</x:v>
      </x:c>
      <x:c r="I8" s="23" t="str">
        <x:v>Fixed</x:v>
      </x:c>
      <x:c r="J8" s="29" t="str">
        <x:v>Backend/Frontend</x:v>
      </x:c>
      <x:c r="K8" s="23" t="str">
        <x:v>Working tree</x:v>
      </x:c>
      <x:c r="L8" s="23" t="str">
        <x:v>Entitlement containment suites plus authenticated route audit</x:v>
      </x:c>
      <x:c r="M8" s="23" t="str">
        <x:v>Passed</x:v>
      </x:c>
      <x:c r="N8" s="23" t="str">
        <x:v>backend/test/foundation/onboarding-entitlement-containment.spec.ts; backend/.qa-runs/authenticated-smoke-playwright-20260918T104017949Z-9975f254.log</x:v>
      </x:c>
      <x:c r="O8" s="23" t="str">
        <x:v>Live-mutation onboarding journey remains Not Run</x:v>
      </x:c>
    </x:row>
    <x:row r="9">
      <x:c r="A9" s="23" t="str">
        <x:v>RF-004</x:v>
      </x:c>
      <x:c r="B9" s="23" t="str">
        <x:v>P2</x:v>
      </x:c>
      <x:c r="C9" s="23" t="str">
        <x:v>Designations and Onboarding</x:v>
      </x:c>
      <x:c r="D9" s="23" t="str">
        <x:v>frontend use-create-designation.ts and backend designation.service.ts</x:v>
      </x:c>
      <x:c r="E9" s="23" t="str">
        <x:v>Designation creation and optional onboarding links could previously leave a partial result.</x:v>
      </x:c>
      <x:c r="F9" s="23" t="str">
        <x:v>Implementation</x:v>
      </x:c>
      <x:c r="G9" s="23" t="str">
        <x:v>Merged working tree</x:v>
      </x:c>
      <x:c r="H9" s="23" t="str">
        <x:v>Transactional source review and regression suite</x:v>
      </x:c>
      <x:c r="I9" s="23" t="str">
        <x:v>Fixed</x:v>
      </x:c>
      <x:c r="J9" s="29" t="str">
        <x:v>Backend/Frontend</x:v>
      </x:c>
      <x:c r="K9" s="23" t="str">
        <x:v>Working tree</x:v>
      </x:c>
      <x:c r="L9" s="23" t="str">
        <x:v>One create request and one database transaction</x:v>
      </x:c>
      <x:c r="M9" s="23" t="str">
        <x:v>Passed</x:v>
      </x:c>
      <x:c r="N9" s="23" t="str">
        <x:v>Designation create passes onboarding Department IDs into the transactional backend command; full regression passed</x:v>
      </x:c>
      <x:c r="O9" s="23" t="str">
        <x:v>Live-mutation onboarding journey remains Not Run</x:v>
      </x:c>
    </x:row>
    <x:row r="10">
      <x:c r="A10" s="23" t="str">
        <x:v>RF-005</x:v>
      </x:c>
      <x:c r="B10" s="23" t="str">
        <x:v>P2</x:v>
      </x:c>
      <x:c r="C10" s="23" t="str">
        <x:v>Designation Branch scope</x:v>
      </x:c>
      <x:c r="D10" s="23" t="str">
        <x:v>frontend/features/designation/forms/designation-form.tsx</x:v>
      </x:c>
      <x:c r="E10" s="23" t="str">
        <x:v>Onboarding Department choices could be ambiguous across Branches.</x:v>
      </x:c>
      <x:c r="F10" s="23" t="str">
        <x:v>Implementation</x:v>
      </x:c>
      <x:c r="G10" s="23" t="str">
        <x:v>Merged working tree</x:v>
      </x:c>
      <x:c r="H10" s="23" t="str">
        <x:v>Form and lookup source review</x:v>
      </x:c>
      <x:c r="I10" s="23" t="str">
        <x:v>Fixed</x:v>
      </x:c>
      <x:c r="J10" s="29" t="str">
        <x:v>Frontend/Product</x:v>
      </x:c>
      <x:c r="K10" s="23" t="str">
        <x:v>Working tree</x:v>
      </x:c>
      <x:c r="L10" s="23" t="str">
        <x:v>Explicit onboarding Branch and Branch-filtered Department lookup</x:v>
      </x:c>
      <x:c r="M10" s="23" t="str">
        <x:v>Passed</x:v>
      </x:c>
      <x:c r="N10" s="23" t="str">
        <x:v>Designation form requires a Branch before loading onboarding Departments and clears stale selections on Branch change</x:v>
      </x:c>
      <x:c r="O10" s="23" t="str">
        <x:v>Multi-Branch persona proof remains tracked separately</x:v>
      </x:c>
    </x:row>
    <x:row r="11">
      <x:c r="A11" s="23" t="str">
        <x:v>RF-006</x:v>
      </x:c>
      <x:c r="B11" s="23" t="str">
        <x:v>P2</x:v>
      </x:c>
      <x:c r="C11" s="23" t="str">
        <x:v>Onboarding navigation</x:v>
      </x:c>
      <x:c r="D11" s="23" t="str">
        <x:v>frontend navigation and onboarding workspaces</x:v>
      </x:c>
      <x:c r="E11" s="23" t="str">
        <x:v>Onboarding routes could be linked while omitted from the active navigation branch.</x:v>
      </x:c>
      <x:c r="F11" s="23" t="str">
        <x:v>Implementation</x:v>
      </x:c>
      <x:c r="G11" s="23" t="str">
        <x:v>Merged working tree</x:v>
      </x:c>
      <x:c r="H11" s="23" t="str">
        <x:v>Navigation contract and browser audit</x:v>
      </x:c>
      <x:c r="I11" s="23" t="str">
        <x:v>Fixed</x:v>
      </x:c>
      <x:c r="J11" s="29" t="str">
        <x:v>Frontend/Product</x:v>
      </x:c>
      <x:c r="K11" s="23" t="str">
        <x:v>Working tree</x:v>
      </x:c>
      <x:c r="L11" s="23" t="str">
        <x:v>Canonical navigation and route audit</x:v>
      </x:c>
      <x:c r="M11" s="23" t="str">
        <x:v>Passed</x:v>
      </x:c>
      <x:c r="N11" s="23" t="str">
        <x:v>frontend/config/navigation.test.ts; backend/.qa-runs/authenticated-smoke-playwright-20260918T104017949Z-9975f254.log</x:v>
      </x:c>
      <x:c r="O11" s="23" t="str">
        <x:v>Full onboarding journey remains Not Run</x:v>
      </x:c>
    </x:row>
    <x:row r="12">
      <x:c r="A12" s="23" t="str">
        <x:v>RF-007</x:v>
      </x:c>
      <x:c r="B12" s="23" t="str">
        <x:v>P2</x:v>
      </x:c>
      <x:c r="C12" s="23" t="str">
        <x:v>Payroll and Finance entitlements</x:v>
      </x:c>
      <x:c r="D12" s="23" t="str">
        <x:v>backend Company module-entitlement gates</x:v>
      </x:c>
      <x:c r="E12" s="23" t="str">
        <x:v>Environment Company allowlists could make Payroll and Finance availability inconsistent.</x:v>
      </x:c>
      <x:c r="F12" s="23" t="str">
        <x:v>Implementation</x:v>
      </x:c>
      <x:c r="G12" s="23" t="str">
        <x:v>Merged working tree</x:v>
      </x:c>
      <x:c r="H12" s="23" t="str">
        <x:v>Environment and entitlement audit</x:v>
      </x:c>
      <x:c r="I12" s="23" t="str">
        <x:v>Fixed</x:v>
      </x:c>
      <x:c r="J12" s="29" t="str">
        <x:v>Backend/Product</x:v>
      </x:c>
      <x:c r="K12" s="23" t="str">
        <x:v>Working tree</x:v>
      </x:c>
      <x:c r="L12" s="23" t="str">
        <x:v>Company entitlement replacement</x:v>
      </x:c>
      <x:c r="M12" s="23" t="str">
        <x:v>Passed</x:v>
      </x:c>
      <x:c r="N12" s="23" t="str">
        <x:v>20260918130000_company_module_entitlements; focused entitlement suites</x:v>
      </x:c>
      <x:c r="O12" s="23" t="str">
        <x:v>Live maker/checker journeys remain Not Run</x:v>
      </x:c>
    </x:row>
    <x:row r="13">
      <x:c r="A13" s="23" t="str">
        <x:v>RF-008</x:v>
      </x:c>
      <x:c r="B13" s="23" t="str">
        <x:v>P2</x:v>
      </x:c>
      <x:c r="C13" s="23" t="str">
        <x:v>Onboarding reminders</x:v>
      </x:c>
      <x:c r="D13" s="23" t="str">
        <x:v>backend onboarding reminder and task services</x:v>
      </x:c>
      <x:c r="E13" s="23" t="str">
        <x:v>Environment rollout lists could stop reminders even when a Company had the product capability.</x:v>
      </x:c>
      <x:c r="F13" s="23" t="str">
        <x:v>Implementation</x:v>
      </x:c>
      <x:c r="G13" s="23" t="str">
        <x:v>Merged working tree</x:v>
      </x:c>
      <x:c r="H13" s="23" t="str">
        <x:v>Entitlement containment audit</x:v>
      </x:c>
      <x:c r="I13" s="23" t="str">
        <x:v>Fixed</x:v>
      </x:c>
      <x:c r="J13" s="29" t="str">
        <x:v>Backend</x:v>
      </x:c>
      <x:c r="K13" s="23" t="str">
        <x:v>Working tree</x:v>
      </x:c>
      <x:c r="L13" s="23" t="str">
        <x:v>Company entitlement checks in reminder/task paths</x:v>
      </x:c>
      <x:c r="M13" s="23" t="str">
        <x:v>Passed</x:v>
      </x:c>
      <x:c r="N13" s="23" t="str">
        <x:v>backend/test/foundation/task-contribution-entitlement.spec.ts</x:v>
      </x:c>
      <x:c r="O13" s="23" t="str">
        <x:v>Provider-backed delivery recovery remains a release gate</x:v>
      </x:c>
    </x:row>
    <x:row r="14">
      <x:c r="A14" s="24" t="str">
        <x:v>RF-009</x:v>
      </x:c>
      <x:c r="B14" s="24" t="str">
        <x:v>P2</x:v>
      </x:c>
      <x:c r="C14" s="24" t="str">
        <x:v>File Storage entitlement evidence</x:v>
      </x:c>
      <x:c r="D14" s="24" t="str">
        <x:v>file-storage guards, operations and downloads</x:v>
      </x:c>
      <x:c r="E14" s="24" t="str">
        <x:v>Legacy empty-allowlist evidence could report false outcomes and miss late entitlement withdrawal.</x:v>
      </x:c>
      <x:c r="F14" s="24" t="str">
        <x:v>Implementation</x:v>
      </x:c>
      <x:c r="G14" s="24" t="str">
        <x:v>Merged working tree</x:v>
      </x:c>
      <x:c r="H14" s="24" t="str">
        <x:v>Deterministic entitlement tests</x:v>
      </x:c>
      <x:c r="I14" s="24" t="str">
        <x:v>Fixed</x:v>
      </x:c>
      <x:c r="J14" s="30" t="str">
        <x:v>Backend/Security</x:v>
      </x:c>
      <x:c r="K14" s="24" t="str">
        <x:v>Working tree</x:v>
      </x:c>
      <x:c r="L14" s="24" t="str">
        <x:v>Entry and immediately-before-operation entitlement checks</x:v>
      </x:c>
      <x:c r="M14" s="24" t="str">
        <x:v>Passed</x:v>
      </x:c>
      <x:c r="N14" s="24" t="str">
        <x:v>backend/test/foundation/file-storage-entitlement-recheck.spec.ts; file-download.service.spec.ts</x:v>
      </x:c>
      <x:c r="O14" s="24" t="str">
        <x:v>Provider-backed object storage and scanner tests remain a release gate</x:v>
      </x:c>
    </x:row>
    <x:row r="15">
      <x:c r="A15" t="str">
        <x:v>RF-010</x:v>
      </x:c>
      <x:c r="B15" t="str">
        <x:v>P0</x:v>
      </x:c>
      <x:c r="C15" t="str">
        <x:v>Onboarding tasks</x:v>
      </x:c>
      <x:c r="D15" t="str">
        <x:v>shared onboarding controllers/services</x:v>
      </x:c>
      <x:c r="E15" t="str">
        <x:v>Body-controlled legacy routing can bypass task authorization.</x:v>
      </x:c>
      <x:c r="F15" t="str">
        <x:v>Implementation</x:v>
      </x:c>
      <x:c r="G15" t="str">
        <x:v>687a9c81e0b0e245213233502b88c89bca24b3d1</x:v>
      </x:c>
      <x:c r="H15" t="str">
        <x:v>Source review</x:v>
      </x:c>
      <x:c r="I15" t="str">
        <x:v>Fixed</x:v>
      </x:c>
      <x:c r="J15" t="str">
        <x:v>Backend</x:v>
      </x:c>
      <x:c r="K15" t="str">
        <x:v>Working tree</x:v>
      </x:c>
      <x:c r="L15" t="str">
        <x:v>Focused onboarding security tests</x:v>
      </x:c>
      <x:c r="M15" t="str">
        <x:v>Passed</x:v>
      </x:c>
      <x:c r="N15" t="str">
        <x:v>14 tests across 4 suites</x:v>
      </x:c>
      <x:c r="O15" t="str">
        <x:v>Real PostgreSQL integration still required</x:v>
      </x:c>
    </x:row>
    <x:row r="16">
      <x:c r="A16" t="str">
        <x:v>RF-011</x:v>
      </x:c>
      <x:c r="B16" t="str">
        <x:v>P0</x:v>
      </x:c>
      <x:c r="C16" t="str">
        <x:v>Onboarding idempotency</x:v>
      </x:c>
      <x:c r="D16" t="str">
        <x:v>onboarding operation receipts</x:v>
      </x:c>
      <x:c r="E16" t="str">
        <x:v>Receipt claimed outside the transaction can strand retries.</x:v>
      </x:c>
      <x:c r="F16" t="str">
        <x:v>Implementation</x:v>
      </x:c>
      <x:c r="G16" t="str">
        <x:v>687a9c81e0b0e245213233502b88c89bca24b3d1</x:v>
      </x:c>
      <x:c r="H16" t="str">
        <x:v>Source review</x:v>
      </x:c>
      <x:c r="I16" t="str">
        <x:v>Fixed</x:v>
      </x:c>
      <x:c r="J16" t="str">
        <x:v>Backend</x:v>
      </x:c>
      <x:c r="K16" t="str">
        <x:v>Working tree</x:v>
      </x:c>
      <x:c r="L16" t="str">
        <x:v>Retry and atomic receipt tests</x:v>
      </x:c>
      <x:c r="M16" t="str">
        <x:v>Passed</x:v>
      </x:c>
      <x:c r="N16" t="str">
        <x:v>Included in 14 focused tests</x:v>
      </x:c>
      <x:c r="O16" t="str">
        <x:v>Real PostgreSQL integration still required</x:v>
      </x:c>
    </x:row>
    <x:row r="17">
      <x:c r="A17" t="str">
        <x:v>RF-012</x:v>
      </x:c>
      <x:c r="B17" t="str">
        <x:v>P1</x:v>
      </x:c>
      <x:c r="C17" t="str">
        <x:v>Onboarding concurrency</x:v>
      </x:c>
      <x:c r="D17" t="str">
        <x:v>complete/cancel mutations</x:v>
      </x:c>
      <x:c r="E17" t="str">
        <x:v>Stale reads permit conflicting complete/cancel writes.</x:v>
      </x:c>
      <x:c r="F17" t="str">
        <x:v>Implementation</x:v>
      </x:c>
      <x:c r="G17" t="str">
        <x:v>687a9c81e0b0e245213233502b88c89bca24b3d1</x:v>
      </x:c>
      <x:c r="H17" t="str">
        <x:v>Source review</x:v>
      </x:c>
      <x:c r="I17" t="str">
        <x:v>Fixed</x:v>
      </x:c>
      <x:c r="J17" t="str">
        <x:v>Backend</x:v>
      </x:c>
      <x:c r="K17" t="str">
        <x:v>Working tree</x:v>
      </x:c>
      <x:c r="L17" t="str">
        <x:v>Compare-and-set transition tests</x:v>
      </x:c>
      <x:c r="M17" t="str">
        <x:v>Passed</x:v>
      </x:c>
      <x:c r="N17" t="str">
        <x:v>Included in 14 focused tests</x:v>
      </x:c>
      <x:c r="O17" t="str">
        <x:v>Real PostgreSQL concurrency test still required</x:v>
      </x:c>
    </x:row>
    <x:row r="18">
      <x:c r="A18" t="str">
        <x:v>RF-013</x:v>
      </x:c>
      <x:c r="B18" t="str">
        <x:v>P1</x:v>
      </x:c>
      <x:c r="C18" t="str">
        <x:v>Schema safety</x:v>
      </x:c>
      <x:c r="D18" t="str">
        <x:v>backend/scripts/assert-destructive-db-guard.ts</x:v>
      </x:c>
      <x:c r="E18" t="str">
        <x:v>Same database user/name allowed wrong-schema writes.</x:v>
      </x:c>
      <x:c r="F18" t="str">
        <x:v>Implementation</x:v>
      </x:c>
      <x:c r="G18" t="str">
        <x:v>687a9c81e0b0e245213233502b88c89bca24b3d1</x:v>
      </x:c>
      <x:c r="H18" t="str">
        <x:v>Source review</x:v>
      </x:c>
      <x:c r="I18" t="str">
        <x:v>Fixed</x:v>
      </x:c>
      <x:c r="J18" t="str">
        <x:v>Backend</x:v>
      </x:c>
      <x:c r="K18" t="str">
        <x:v>Working tree</x:v>
      </x:c>
      <x:c r="L18" t="str">
        <x:v>Guard and contract tests</x:v>
      </x:c>
      <x:c r="M18" t="str">
        <x:v>Passed</x:v>
      </x:c>
      <x:c r="N18" t="str">
        <x:v>62 tests across 2 QA suites</x:v>
      </x:c>
      <x:c r="O18" t="str">
        <x:v>Live sentinel/fingerprint execution remains gated</x:v>
      </x:c>
    </x:row>
    <x:row r="19">
      <x:c r="A19" t="str">
        <x:v>RF-014</x:v>
      </x:c>
      <x:c r="B19" t="str">
        <x:v>P1</x:v>
      </x:c>
      <x:c r="C19" t="str">
        <x:v>Owner onboarding</x:v>
      </x:c>
      <x:c r="D19" t="str">
        <x:v>organization-onboarding.service.ts</x:v>
      </x:c>
      <x:c r="E19" t="str">
        <x:v>First-row and name-matched organization placement.</x:v>
      </x:c>
      <x:c r="F19" t="str">
        <x:v>Implementation</x:v>
      </x:c>
      <x:c r="G19" t="str">
        <x:v>687a9c81e0b0e245213233502b88c89bca24b3d1</x:v>
      </x:c>
      <x:c r="H19" t="str">
        <x:v>Source review</x:v>
      </x:c>
      <x:c r="I19" t="str">
        <x:v>Fixed</x:v>
      </x:c>
      <x:c r="J19" t="str">
        <x:v>Backend/Product</x:v>
      </x:c>
      <x:c r="K19" t="str">
        <x:v>Working tree</x:v>
      </x:c>
      <x:c r="L19" t="str">
        <x:v>Explicit owner-selection suites</x:v>
      </x:c>
      <x:c r="M19" t="str">
        <x:v>Passed</x:v>
      </x:c>
      <x:c r="N19" t="str">
        <x:v>11 backend + 7 frontend tests</x:v>
      </x:c>
      <x:c r="O19" t="str">
        <x:v>Authenticated browser retest remains</x:v>
      </x:c>
    </x:row>
    <x:row r="20">
      <x:c r="A20" t="str">
        <x:v>RF-015</x:v>
      </x:c>
      <x:c r="B20" t="str">
        <x:v>P1</x:v>
      </x:c>
      <x:c r="C20" t="str">
        <x:v>Holiday import</x:v>
      </x:c>
      <x:c r="D20" t="str">
        <x:v>business calendar provider</x:v>
      </x:c>
      <x:c r="E20" t="str">
        <x:v>Fixed 2026 IN/AE fixture silently returns empty for other inputs.</x:v>
      </x:c>
      <x:c r="F20" t="str">
        <x:v>Implementation</x:v>
      </x:c>
      <x:c r="G20" t="str">
        <x:v>687a9c81e0b0e245213233502b88c89bca24b3d1</x:v>
      </x:c>
      <x:c r="H20" t="str">
        <x:v>Source review</x:v>
      </x:c>
      <x:c r="I20" t="str">
        <x:v>Fixed</x:v>
      </x:c>
      <x:c r="J20" t="str">
        <x:v>Backend/Product</x:v>
      </x:c>
      <x:c r="K20" t="str">
        <x:v>Working tree</x:v>
      </x:c>
      <x:c r="L20" t="str">
        <x:v>Calendar provider/import/backfill suites</x:v>
      </x:c>
      <x:c r="M20" t="str">
        <x:v>Passed</x:v>
      </x:c>
      <x:c r="N20" t="str">
        <x:v>19 tests</x:v>
      </x:c>
      <x:c r="O20" t="str">
        <x:v>Provider-backed/manual review remains</x:v>
      </x:c>
    </x:row>
    <x:row r="21">
      <x:c r="A21" t="str">
        <x:v>RF-016</x:v>
      </x:c>
      <x:c r="B21" t="str">
        <x:v>P1</x:v>
      </x:c>
      <x:c r="C21" t="str">
        <x:v>Navigation</x:v>
      </x:c>
      <x:c r="D21" t="str">
        <x:v>frontend navigation/app shell</x:v>
      </x:c>
      <x:c r="E21" t="str">
        <x:v>Tablet loses nested routes and switcher access.</x:v>
      </x:c>
      <x:c r="F21" t="str">
        <x:v>Implementation</x:v>
      </x:c>
      <x:c r="G21" t="str">
        <x:v>687a9c81e0b0e245213233502b88c89bca24b3d1</x:v>
      </x:c>
      <x:c r="H21" t="str">
        <x:v>Source review</x:v>
      </x:c>
      <x:c r="I21" t="str">
        <x:v>Fixed</x:v>
      </x:c>
      <x:c r="J21" t="str">
        <x:v>Frontend</x:v>
      </x:c>
      <x:c r="K21" t="str">
        <x:v>Working tree</x:v>
      </x:c>
      <x:c r="L21" t="str">
        <x:v>Navigation contract tests plus authenticated multi-viewport smoke</x:v>
      </x:c>
      <x:c r="M21" t="str">
        <x:v>Passed</x:v>
      </x:c>
      <x:c r="N21" t="str">
        <x:v>20 targeted tests; backend/.qa-runs/authenticated-smoke-playwright-20260918T104017949Z-9975f254.log</x:v>
      </x:c>
      <x:c r="O21" t="str">
        <x:v>Branch switching remains separately unproven because no persona has more than one Branch scope.</x:v>
      </x:c>
    </x:row>
    <x:row r="22">
      <x:c r="A22" t="str">
        <x:v>RF-017</x:v>
      </x:c>
      <x:c r="B22" t="str">
        <x:v>P1</x:v>
      </x:c>
      <x:c r="C22" t="str">
        <x:v>Playwright validity</x:v>
      </x:c>
      <x:c r="D22" t="str">
        <x:v>frontend/e2e</x:v>
      </x:c>
      <x:c r="E22" t="str">
        <x:v>Sign in and disabled states were accepted as successful workspace checks.</x:v>
      </x:c>
      <x:c r="F22" t="str">
        <x:v>Implementation</x:v>
      </x:c>
      <x:c r="G22" t="str">
        <x:v>687a9c81e0b0e245213233502b88c89bca24b3d1</x:v>
      </x:c>
      <x:c r="H22" t="str">
        <x:v>Source review</x:v>
      </x:c>
      <x:c r="I22" t="str">
        <x:v>Fixed</x:v>
      </x:c>
      <x:c r="J22" t="str">
        <x:v>QA/Frontend</x:v>
      </x:c>
      <x:c r="K22" t="str">
        <x:v>Working tree</x:v>
      </x:c>
      <x:c r="L22" t="str">
        <x:v>Authenticated Asset/Recruitment cases</x:v>
      </x:c>
      <x:c r="M22" t="str">
        <x:v>Incomplete</x:v>
      </x:c>
      <x:c r="N22" t="str">
        <x:v>backend/.qa-runs/authenticated-smoke-playwright-20260918T104017949Z-9975f254.log</x:v>
      </x:c>
      <x:c r="O22" t="str">
        <x:v>The 2026-09-18 authenticated surface smoke completed with 69 canonical routes discovered, 68 audited, 0 unavailable, one planned/disabled route excluded, and 73 unique internal links audited. Three live Finance/Payroll mutation cases were deliberately skipped because they require an exact transaction manifest and cleanup. This historical run predates the Approval workflows route and does not complete any golden thread.</x:v>
      </x:c>
    </x:row>
    <x:row r="23">
      <x:c r="A23" t="str">
        <x:v>RF-018</x:v>
      </x:c>
      <x:c r="B23" t="str">
        <x:v>P1</x:v>
      </x:c>
      <x:c r="C23" t="str">
        <x:v>Company settings</x:v>
      </x:c>
      <x:c r="D23" t="str">
        <x:v>backend/src/modules/company-settings</x:v>
      </x:c>
      <x:c r="E23" t="str">
        <x:v>Arbitrary key/value, mutable ownership and no scope/audit.</x:v>
      </x:c>
      <x:c r="F23" t="str">
        <x:v>Implementation</x:v>
      </x:c>
      <x:c r="G23" t="str">
        <x:v>687a9c81e0b0e245213233502b88c89bca24b3d1</x:v>
      </x:c>
      <x:c r="H23" t="str">
        <x:v>Source review</x:v>
      </x:c>
      <x:c r="I23" t="str">
        <x:v>Fixed</x:v>
      </x:c>
      <x:c r="J23" t="str">
        <x:v>Backend</x:v>
      </x:c>
      <x:c r="K23" t="str">
        <x:v>Working tree</x:v>
      </x:c>
      <x:c r="L23" t="str">
        <x:v>Company setting contract tests</x:v>
      </x:c>
      <x:c r="M23" t="str">
        <x:v>Passed</x:v>
      </x:c>
      <x:c r="N23" t="str">
        <x:v>3 targeted tests</x:v>
      </x:c>
      <x:c r="O23" t="str">
        <x:v>Service integration test still required</x:v>
      </x:c>
    </x:row>
    <x:row r="24">
      <x:c r="A24" t="str">
        <x:v>RF-019</x:v>
      </x:c>
      <x:c r="B24" t="str">
        <x:v>P2</x:v>
      </x:c>
      <x:c r="C24" t="str">
        <x:v>Employee workflow</x:v>
      </x:c>
      <x:c r="D24" t="str">
        <x:v>backend/src/modules/employee/employee.service.ts</x:v>
      </x:c>
      <x:c r="E24" t="str">
        <x:v>Manual creation labelled legacy and manager restricted to same Branch.</x:v>
      </x:c>
      <x:c r="F24" t="str">
        <x:v>Implementation</x:v>
      </x:c>
      <x:c r="G24" t="str">
        <x:v>687a9c81e0b0e245213233502b88c89bca24b3d1</x:v>
      </x:c>
      <x:c r="H24" t="str">
        <x:v>Source review</x:v>
      </x:c>
      <x:c r="I24" t="str">
        <x:v>Fixed</x:v>
      </x:c>
      <x:c r="J24" t="str">
        <x:v>Backend</x:v>
      </x:c>
      <x:c r="K24" t="str">
        <x:v>Working tree</x:v>
      </x:c>
      <x:c r="L24" t="str">
        <x:v>Employee organization rule tests</x:v>
      </x:c>
      <x:c r="M24" t="str">
        <x:v>Passed</x:v>
      </x:c>
      <x:c r="N24" t="str">
        <x:v>2 targeted tests</x:v>
      </x:c>
      <x:c r="O24" t="str">
        <x:v>DB integration test still required</x:v>
      </x:c>
    </x:row>
    <x:row r="25">
      <x:c r="A25" t="str">
        <x:v>RF-020</x:v>
      </x:c>
      <x:c r="B25" t="str">
        <x:v>P2</x:v>
      </x:c>
      <x:c r="C25" t="str">
        <x:v>Runtime/toolchain</x:v>
      </x:c>
      <x:c r="D25" t="str">
        <x:v>pnpm wrapper</x:v>
      </x:c>
      <x:c r="E25" t="str">
        <x:v>The PATH pnpm shim invokes Node 22.17.0 while packages require &gt;=24.20.0 &lt;25.</x:v>
      </x:c>
      <x:c r="F25" t="str">
        <x:v>Environment</x:v>
      </x:c>
      <x:c r="G25" t="str">
        <x:v>687a9c81e0b0e245213233502b88c89bca24b3d1</x:v>
      </x:c>
      <x:c r="H25" t="str">
        <x:v>Command evidence</x:v>
      </x:c>
      <x:c r="I25" t="str">
        <x:v>Open</x:v>
      </x:c>
      <x:c r="J25" t="str">
        <x:v>Infrastructure</x:v>
      </x:c>
      <x:c r="K25" t="str"/>
      <x:c r="L25" t="str">
        <x:v>Repair the shared pnpm shim</x:v>
      </x:c>
      <x:c r="M25" t="str">
        <x:v>Not Run</x:v>
      </x:c>
      <x:c r="N25" t="str">
        <x:v>Final gates used host Node 24.20.0 directly</x:v>
      </x:c>
      <x:c r="O25" t="str">
        <x:v>Developer-environment cleanup; qualified evidence is available</x:v>
      </x:c>
    </x:row>
    <x:row r="26">
      <x:c r="A26" t="str">
        <x:v>RF-021</x:v>
      </x:c>
      <x:c r="B26" t="str">
        <x:v>P1</x:v>
      </x:c>
      <x:c r="C26" t="str">
        <x:v>Reference seed</x:v>
      </x:c>
      <x:c r="D26" t="str">
        <x:v>backend/scripts/qa/seed-reference-data.ts</x:v>
      </x:c>
      <x:c r="E26" t="str">
        <x:v>Stable persona provisioning was missing from the guarded reference seeder.</x:v>
      </x:c>
      <x:c r="F26" t="str">
        <x:v>Implementation</x:v>
      </x:c>
      <x:c r="G26" t="str">
        <x:v>687a9c81e0b0e245213233502b88c89bca24b3d1</x:v>
      </x:c>
      <x:c r="H26" t="str">
        <x:v>Source review</x:v>
      </x:c>
      <x:c r="I26" t="str">
        <x:v>Fixed</x:v>
      </x:c>
      <x:c r="J26" t="str">
        <x:v>Backend/QA</x:v>
      </x:c>
      <x:c r="K26" t="str">
        <x:v>Working tree</x:v>
      </x:c>
      <x:c r="L26" t="str">
        <x:v>Guarded persona apply and rerun</x:v>
      </x:c>
      <x:c r="M26" t="str">
        <x:v>Passed</x:v>
      </x:c>
      <x:c r="N26" t="str">
        <x:v>backend/.qa-runs/reference-seed-1789728103852.json; backend/.qa-runs/reference-seed-1789728130663.json</x:v>
      </x:c>
      <x:c r="O26" t="str">
        <x:v>Applied to dsp_pms_stg; immediate rerun left all 126 persona artifacts unchanged.</x:v>
      </x:c>
    </x:row>
    <x:row r="27">
      <x:c r="A27" t="str">
        <x:v>RF-022</x:v>
      </x:c>
      <x:c r="B27" t="str">
        <x:v>P1</x:v>
      </x:c>
      <x:c r="C27" t="str">
        <x:v>Product configuration</x:v>
      </x:c>
      <x:c r="D27" t="str">
        <x:v>backend Company module-entitlement gates and active product labels</x:v>
      </x:c>
      <x:c r="E27" t="str">
        <x:v>Environment allowlists and versioned product terminology could make Company behavior inconsistent.</x:v>
      </x:c>
      <x:c r="F27" t="str">
        <x:v>Implementation</x:v>
      </x:c>
      <x:c r="G27" t="str">
        <x:v>Merged working tree</x:v>
      </x:c>
      <x:c r="H27" t="str">
        <x:v>Post-change environment, route and terminology audit</x:v>
      </x:c>
      <x:c r="I27" t="str">
        <x:v>Fixed</x:v>
      </x:c>
      <x:c r="J27" t="str">
        <x:v>Backend/Product</x:v>
      </x:c>
      <x:c r="K27" t="str">
        <x:v>Working tree</x:v>
      </x:c>
      <x:c r="L27" t="str">
        <x:v>Company entitlements and canonical terminology</x:v>
      </x:c>
      <x:c r="M27" t="str">
        <x:v>Passed</x:v>
      </x:c>
      <x:c r="N27" t="str">
        <x:v>20260918130000_company_module_entitlements; package target and environment audits</x:v>
      </x:c>
      <x:c r="O27" t="str">
        <x:v>Company entitlements supersede active tenant allowlists. UI, environment and package targets are canonical; internal compatibility identifiers and immutable data markers remain where contract safety requires them.</x:v>
      </x:c>
    </x:row>
    <x:row r="28">
      <x:c r="A28" t="str">
        <x:v>RF-023</x:v>
      </x:c>
      <x:c r="B28" t="str">
        <x:v>P1</x:v>
      </x:c>
      <x:c r="C28" t="str">
        <x:v>Authentication scope</x:v>
      </x:c>
      <x:c r="D28" t="str">
        <x:v>backend/src/modules/auth</x:v>
      </x:c>
      <x:c r="E28" t="str">
        <x:v>Ambiguous users could inherit the first role/company assignment.</x:v>
      </x:c>
      <x:c r="F28" t="str">
        <x:v>Implementation</x:v>
      </x:c>
      <x:c r="G28" t="str">
        <x:v>687a9c81e0b0e245213233502b88c89bca24b3d1</x:v>
      </x:c>
      <x:c r="H28" t="str">
        <x:v>Source review</x:v>
      </x:c>
      <x:c r="I28" t="str">
        <x:v>Fixed</x:v>
      </x:c>
      <x:c r="J28" t="str">
        <x:v>Backend/Frontend</x:v>
      </x:c>
      <x:c r="K28" t="str">
        <x:v>Working tree</x:v>
      </x:c>
      <x:c r="L28" t="str">
        <x:v>Auth scope suites plus authenticated browser smoke</x:v>
      </x:c>
      <x:c r="M28" t="str">
        <x:v>Passed</x:v>
      </x:c>
      <x:c r="N28" t="str">
        <x:v>27 backend + 2 frontend tests; backend/.qa-runs/authenticated-smoke-playwright-20260918T104017949Z-9975f254.log</x:v>
      </x:c>
      <x:c r="O28" t="str">
        <x:v>Explicit Company switching passed for the group owner; multi-Branch switching remains a coverage gap.</x:v>
      </x:c>
    </x:row>
    <x:row r="29">
      <x:c r="A29" t="str">
        <x:v>RF-024</x:v>
      </x:c>
      <x:c r="B29" t="str">
        <x:v>P1</x:v>
      </x:c>
      <x:c r="C29" t="str">
        <x:v>Branch localization</x:v>
      </x:c>
      <x:c r="D29" t="str">
        <x:v>Branch DTO/form/onboarding</x:v>
      </x:c>
      <x:c r="E29" t="str">
        <x:v>Country, subdivision and timezone were optional and onboarding defaulted UAE.</x:v>
      </x:c>
      <x:c r="F29" t="str">
        <x:v>Implementation</x:v>
      </x:c>
      <x:c r="G29" t="str">
        <x:v>687a9c81e0b0e245213233502b88c89bca24b3d1</x:v>
      </x:c>
      <x:c r="H29" t="str">
        <x:v>Source review</x:v>
      </x:c>
      <x:c r="I29" t="str">
        <x:v>Fixed</x:v>
      </x:c>
      <x:c r="J29" t="str">
        <x:v>Backend/Frontend</x:v>
      </x:c>
      <x:c r="K29" t="str">
        <x:v>Working tree</x:v>
      </x:c>
      <x:c r="L29" t="str">
        <x:v>Branch contract tests</x:v>
      </x:c>
      <x:c r="M29" t="str">
        <x:v>Passed</x:v>
      </x:c>
      <x:c r="N29" t="str">
        <x:v>8 tests</x:v>
      </x:c>
      <x:c r="O29" t="str">
        <x:v>Existing Branch readiness/backfill required</x:v>
      </x:c>
    </x:row>
    <x:row r="30">
      <x:c r="A30" t="str">
        <x:v>RF-025</x:v>
      </x:c>
      <x:c r="B30" t="str">
        <x:v>P1</x:v>
      </x:c>
      <x:c r="C30" t="str">
        <x:v>Company financial/legal configuration</x:v>
      </x:c>
      <x:c r="D30" t="str">
        <x:v>offers and payroll tax profiles</x:v>
      </x:c>
      <x:c r="E30" t="str">
        <x:v>INR/IN defaults could leak into UAE workflows.</x:v>
      </x:c>
      <x:c r="F30" t="str">
        <x:v>Implementation</x:v>
      </x:c>
      <x:c r="G30" t="str">
        <x:v>687a9c81e0b0e245213233502b88c89bca24b3d1</x:v>
      </x:c>
      <x:c r="H30" t="str">
        <x:v>Source review</x:v>
      </x:c>
      <x:c r="I30" t="str">
        <x:v>Fixed</x:v>
      </x:c>
      <x:c r="J30" t="str">
        <x:v>Backend/Frontend</x:v>
      </x:c>
      <x:c r="K30" t="str">
        <x:v>Working tree</x:v>
      </x:c>
      <x:c r="L30" t="str">
        <x:v>Currency/country contract tests</x:v>
      </x:c>
      <x:c r="M30" t="str">
        <x:v>Passed</x:v>
      </x:c>
      <x:c r="N30" t="str">
        <x:v>Focused tests passed</x:v>
      </x:c>
      <x:c r="O30" t="str">
        <x:v>Existing Company backfill required</x:v>
      </x:c>
    </x:row>
    <x:row r="31">
      <x:c r="A31" t="str">
        <x:v>RF-026</x:v>
      </x:c>
      <x:c r="B31" t="str">
        <x:v>P1</x:v>
      </x:c>
      <x:c r="C31" t="str">
        <x:v>Onboarding cancellation</x:v>
      </x:c>
      <x:c r="D31" t="str">
        <x:v>employee-onboarding.controller.ts</x:v>
      </x:c>
      <x:c r="E31" t="str">
        <x:v>Legacy DELETE bypassed the canonical gate, capability, expected-version, audit and receipt contract.</x:v>
      </x:c>
      <x:c r="F31" t="str">
        <x:v>AI-assisted review</x:v>
      </x:c>
      <x:c r="G31" t="str">
        <x:v>687a9c81e0b0e245213233502b88c89bca24b3d1</x:v>
      </x:c>
      <x:c r="H31" t="str">
        <x:v>Deterministic source reproduction</x:v>
      </x:c>
      <x:c r="I31" t="str">
        <x:v>Fixed</x:v>
      </x:c>
      <x:c r="J31" t="str">
        <x:v>Backend</x:v>
      </x:c>
      <x:c r="K31" t="str">
        <x:v>Working tree</x:v>
      </x:c>
      <x:c r="L31" t="str">
        <x:v>Canonical routing and command-safety suites</x:v>
      </x:c>
      <x:c r="M31" t="str">
        <x:v>Passed</x:v>
      </x:c>
      <x:c r="N31" t="str">
        <x:v>12 tests across 2 suites</x:v>
      </x:c>
      <x:c r="O31" t="str">
        <x:v>Real PostgreSQL race validation remains</x:v>
      </x:c>
    </x:row>
    <x:row r="32">
      <x:c r="A32" t="str">
        <x:v>RF-027</x:v>
      </x:c>
      <x:c r="B32" t="str">
        <x:v>P1</x:v>
      </x:c>
      <x:c r="C32" t="str">
        <x:v>Migration schema neutrality</x:v>
      </x:c>
      <x:c r="D32" t="str">
        <x:v>backend/scripts/qa/schema-neutral-sql.ts</x:v>
      </x:c>
      <x:c r="E32" t="str">
        <x:v>search_path and dynamically executed SQL could evade the qualified-name-only migration scan.</x:v>
      </x:c>
      <x:c r="F32" t="str">
        <x:v>AI-assisted review</x:v>
      </x:c>
      <x:c r="G32" t="str">
        <x:v>687a9c81e0b0e245213233502b88c89bca24b3d1</x:v>
      </x:c>
      <x:c r="H32" t="str">
        <x:v>Deterministic parser reproduction</x:v>
      </x:c>
      <x:c r="I32" t="str">
        <x:v>Fixed</x:v>
      </x:c>
      <x:c r="J32" t="str">
        <x:v>Backend/QA</x:v>
      </x:c>
      <x:c r="K32" t="str">
        <x:v>Working tree</x:v>
      </x:c>
      <x:c r="L32" t="str">
        <x:v>Schema-control and dynamic-SQL rejection tests</x:v>
      </x:c>
      <x:c r="M32" t="str">
        <x:v>Passed</x:v>
      </x:c>
      <x:c r="N32" t="str">
        <x:v>Focused connection-free tests</x:v>
      </x:c>
      <x:c r="O32" t="str">
        <x:v>Ephemeral historical-chain validation remains</x:v>
      </x:c>
    </x:row>
    <x:row r="33">
      <x:c r="A33" t="str">
        <x:v>RF-028</x:v>
      </x:c>
      <x:c r="B33" t="str">
        <x:v>P1</x:v>
      </x:c>
      <x:c r="C33" t="str">
        <x:v>Migration lineage</x:v>
      </x:c>
      <x:c r="D33" t="str">
        <x:v>20260821181000_office_finance_payroll_release_contract</x:v>
      </x:c>
      <x:c r="E33" t="str">
        <x:v>An already-applied migration had been edited to add NOT VALID, so repository SQL no longer matched the applied ledger.</x:v>
      </x:c>
      <x:c r="F33" t="str">
        <x:v>Implementation</x:v>
      </x:c>
      <x:c r="G33" t="str">
        <x:v>PMS-170926 canonical file; local master backport 4ca5abd</x:v>
      </x:c>
      <x:c r="H33" t="str">
        <x:v>Read-only ledger audit</x:v>
      </x:c>
      <x:c r="I33" t="str">
        <x:v>Fixed</x:v>
      </x:c>
      <x:c r="J33" t="str">
        <x:v>Backend/DBA</x:v>
      </x:c>
      <x:c r="K33" t="str">
        <x:v>Local backport branch</x:v>
      </x:c>
      <x:c r="L33" t="str">
        <x:v>156-name/checksum master-lineage audit</x:v>
      </x:c>
      <x:c r="M33" t="str">
        <x:v>Passed</x:v>
      </x:c>
      <x:c r="N33" t="str">
        <x:v>156 repository migrations match 156 applied current migrations with zero semantic mismatches</x:v>
      </x:c>
      <x:c r="O33" t="str">
        <x:v>Backport remains local until reviewed and pushed</x:v>
      </x:c>
    </x:row>
    <x:row r="34">
      <x:c r="A34" t="str">
        <x:v>RF-029</x:v>
      </x:c>
      <x:c r="B34" t="str">
        <x:v>P1</x:v>
      </x:c>
      <x:c r="C34" t="str">
        <x:v>Staging readiness</x:v>
      </x:c>
      <x:c r="D34" t="str">
        <x:v>backend/scripts/qa/audit-staging-readiness.ts</x:v>
      </x:c>
      <x:c r="E34" t="str">
        <x:v>The audit checked migration counts but not exact names or checksums and could report a false ready state.</x:v>
      </x:c>
      <x:c r="F34" t="str">
        <x:v>Implementation</x:v>
      </x:c>
      <x:c r="G34" t="str">
        <x:v>PMS-170926 working tree</x:v>
      </x:c>
      <x:c r="H34" t="str">
        <x:v>AI-assisted risk audit</x:v>
      </x:c>
      <x:c r="I34" t="str">
        <x:v>Fixed</x:v>
      </x:c>
      <x:c r="J34" t="str">
        <x:v>Backend/QA</x:v>
      </x:c>
      <x:c r="K34" t="str">
        <x:v>Working tree</x:v>
      </x:c>
      <x:c r="L34" t="str">
        <x:v>Migration lineage unit/live audit</x:v>
      </x:c>
      <x:c r="M34" t="str">
        <x:v>Passed</x:v>
      </x:c>
      <x:c r="N34" t="str">
        <x:v>Three deterministic lineage tests plus live 161/161 staging audit</x:v>
      </x:c>
      <x:c r="O34" t="str">
        <x:v>Historical from-zero chain remains a separate CI gate</x:v>
      </x:c>
    </x:row>
    <x:row r="35">
      <x:c r="A35" t="str">
        <x:v>RF-030</x:v>
      </x:c>
      <x:c r="B35" t="str">
        <x:v>P1</x:v>
      </x:c>
      <x:c r="C35" t="str">
        <x:v>Playwright authentication</x:v>
      </x:c>
      <x:c r="D35" t="str">
        <x:v>frontend/e2e/helpers/auth.ts</x:v>
      </x:c>
      <x:c r="E35" t="str">
        <x:v>The helper authenticated directly against backend /auth and bypassed the product /api proxy, so the /api/auth refresh cookie was unavailable to the app.</x:v>
      </x:c>
      <x:c r="F35" t="str">
        <x:v>Implementation</x:v>
      </x:c>
      <x:c r="G35" t="str">
        <x:v>687a9c81e0b0e245213233502b88c89bca24b3d1</x:v>
      </x:c>
      <x:c r="H35" t="str">
        <x:v>Deterministic browser/log reproduction</x:v>
      </x:c>
      <x:c r="I35" t="str">
        <x:v>Fixed</x:v>
      </x:c>
      <x:c r="J35" t="str">
        <x:v>QA/Frontend</x:v>
      </x:c>
      <x:c r="K35" t="str">
        <x:v>Working tree</x:v>
      </x:c>
      <x:c r="L35" t="str">
        <x:v>Same-origin login/refresh/logout plus cookie regression</x:v>
      </x:c>
      <x:c r="M35" t="str">
        <x:v>Passed</x:v>
      </x:c>
      <x:c r="N35" t="str">
        <x:v>backend/test/foundation/auth.controller-cookie.spec.ts; backend/.qa-runs/authenticated-smoke-playwright-20260918T104017949Z-9975f254.log</x:v>
      </x:c>
      <x:c r="O35" t="str">
        <x:v>Backend cookie Path remains /api/auth. Browser smoke outcome is recorded separately and does not imply golden-thread completion.</x:v>
      </x:c>
    </x:row>
    <x:row r="36">
      <x:c r="A36" t="str">
        <x:v>RF-031</x:v>
      </x:c>
      <x:c r="B36" t="str">
        <x:v>P1</x:v>
      </x:c>
      <x:c r="C36" t="str">
        <x:v>Designation lifecycle</x:v>
      </x:c>
      <x:c r="D36" t="str">
        <x:v>frontend/features/designation/forms/designation-form.tsx</x:v>
      </x:c>
      <x:c r="E36" t="str">
        <x:v>Deactivating a Designation could clear existing onboarding departments.</x:v>
      </x:c>
      <x:c r="F36" t="str">
        <x:v>Implementation</x:v>
      </x:c>
      <x:c r="G36" t="str">
        <x:v>Merged working tree</x:v>
      </x:c>
      <x:c r="H36" t="str">
        <x:v>Post-merge deterministic regression</x:v>
      </x:c>
      <x:c r="I36" t="str">
        <x:v>Fixed</x:v>
      </x:c>
      <x:c r="J36" t="str">
        <x:v>Frontend</x:v>
      </x:c>
      <x:c r="K36" t="str">
        <x:v>Working tree</x:v>
      </x:c>
      <x:c r="L36" t="str">
        <x:v>Designation deactivation preserves onboarding links</x:v>
      </x:c>
      <x:c r="M36" t="str">
        <x:v>Passed</x:v>
      </x:c>
      <x:c r="N36" t="str">
        <x:v>frontend/features/designation/forms/designation-form.test.tsx</x:v>
      </x:c>
      <x:c r="O36" t="str">
        <x:v>Live-mutation onboarding golden thread remains Not Run.</x:v>
      </x:c>
    </x:row>
    <x:row r="37">
      <x:c r="A37" t="str">
        <x:v>RF-032</x:v>
      </x:c>
      <x:c r="B37" t="str">
        <x:v>P0</x:v>
      </x:c>
      <x:c r="C37" t="str">
        <x:v>Shared onboarding templates</x:v>
      </x:c>
      <x:c r="D37" t="str">
        <x:v>backend/src/modules/designation/designation.service.ts</x:v>
      </x:c>
      <x:c r="E37" t="str">
        <x:v>Clearing one Designation could delete a checklist still owned through a sibling Designation, assignment or template scope.</x:v>
      </x:c>
      <x:c r="F37" t="str">
        <x:v>Implementation</x:v>
      </x:c>
      <x:c r="G37" t="str">
        <x:v>Merged working tree</x:v>
      </x:c>
      <x:c r="H37" t="str">
        <x:v>Post-merge deterministic regression</x:v>
      </x:c>
      <x:c r="I37" t="str">
        <x:v>Fixed</x:v>
      </x:c>
      <x:c r="J37" t="str">
        <x:v>Backend</x:v>
      </x:c>
      <x:c r="K37" t="str">
        <x:v>Working tree</x:v>
      </x:c>
      <x:c r="L37" t="str">
        <x:v>Shared-template ownership guard rejects destructive cleanup</x:v>
      </x:c>
      <x:c r="M37" t="str">
        <x:v>Passed</x:v>
      </x:c>
      <x:c r="N37" t="str">
        <x:v>backend/test/foundation/designation-onboarding-sync-ownership.service.spec.ts</x:v>
      </x:c>
      <x:c r="O37" t="str">
        <x:v>Live-mutation onboarding golden thread remains Not Run.</x:v>
      </x:c>
    </x:row>
    <x:row r="38">
      <x:c r="A38" t="str">
        <x:v>RF-033</x:v>
      </x:c>
      <x:c r="B38" t="str">
        <x:v>P1</x:v>
      </x:c>
      <x:c r="C38" t="str">
        <x:v>Navigation permissions</x:v>
      </x:c>
      <x:c r="D38" t="str">
        <x:v>frontend/config/navigation.ts</x:v>
      </x:c>
      <x:c r="E38" t="str">
        <x:v>Shifts and Apply Leave visibility or route access could disagree with the granted permission set.</x:v>
      </x:c>
      <x:c r="F38" t="str">
        <x:v>Implementation</x:v>
      </x:c>
      <x:c r="G38" t="str">
        <x:v>Merged working tree</x:v>
      </x:c>
      <x:c r="H38" t="str">
        <x:v>Post-merge deterministic regression</x:v>
      </x:c>
      <x:c r="I38" t="str">
        <x:v>Fixed</x:v>
      </x:c>
      <x:c r="J38" t="str">
        <x:v>Frontend</x:v>
      </x:c>
      <x:c r="K38" t="str">
        <x:v>Working tree</x:v>
      </x:c>
      <x:c r="L38" t="str">
        <x:v>Shifts and Apply Leave permission-contract retest</x:v>
      </x:c>
      <x:c r="M38" t="str">
        <x:v>Passed</x:v>
      </x:c>
      <x:c r="N38" t="str">
        <x:v>frontend/config/navigation.test.ts; backend/.qa-runs/authenticated-smoke-playwright-20260918T104017949Z-9975f254.log</x:v>
      </x:c>
      <x:c r="O38" t="str">
        <x:v>Authenticated route surfaces passed; full approval journeys remain Not Run.</x:v>
      </x:c>
    </x:row>
    <x:row r="39">
      <x:c r="A39" t="str">
        <x:v>RF-034</x:v>
      </x:c>
      <x:c r="B39" t="str">
        <x:v>P1</x:v>
      </x:c>
      <x:c r="C39" t="str">
        <x:v>Calendar import identity</x:v>
      </x:c>
      <x:c r="D39" t="str">
        <x:v>frontend/features/business-calendar/imports-workspace.tsx</x:v>
      </x:c>
      <x:c r="E39" t="str">
        <x:v>An import could retain stale Company or version IDs after its context changed.</x:v>
      </x:c>
      <x:c r="F39" t="str">
        <x:v>Implementation</x:v>
      </x:c>
      <x:c r="G39" t="str">
        <x:v>Merged working tree</x:v>
      </x:c>
      <x:c r="H39" t="str">
        <x:v>Post-merge deterministic regression</x:v>
      </x:c>
      <x:c r="I39" t="str">
        <x:v>Fixed</x:v>
      </x:c>
      <x:c r="J39" t="str">
        <x:v>Frontend</x:v>
      </x:c>
      <x:c r="K39" t="str">
        <x:v>Working tree</x:v>
      </x:c>
      <x:c r="L39" t="str">
        <x:v>Current scoped Company/version ID import retest</x:v>
      </x:c>
      <x:c r="M39" t="str">
        <x:v>Passed</x:v>
      </x:c>
      <x:c r="N39" t="str">
        <x:v>frontend/features/business-calendar/selection-scope.test.ts</x:v>
      </x:c>
      <x:c r="O39" t="str">
        <x:v>Provider-backed file/email/scanner testing remains a separate release gate.</x:v>
      </x:c>
    </x:row>
    <x:row r="40">
      <x:c r="A40" t="str">
        <x:v>RF-035</x:v>
      </x:c>
      <x:c r="B40" t="str">
        <x:v>P1</x:v>
      </x:c>
      <x:c r="C40" t="str">
        <x:v>Separation assets</x:v>
      </x:c>
      <x:c r="D40" t="str">
        <x:v>frontend/features/hr-operations/lib/asset-resolution-links.ts</x:v>
      </x:c>
      <x:c r="E40" t="str">
        <x:v>Separation asset links could be shown without caller-specific permission filtering.</x:v>
      </x:c>
      <x:c r="F40" t="str">
        <x:v>Implementation</x:v>
      </x:c>
      <x:c r="G40" t="str">
        <x:v>Merged working tree</x:v>
      </x:c>
      <x:c r="H40" t="str">
        <x:v>Post-merge deterministic regression</x:v>
      </x:c>
      <x:c r="I40" t="str">
        <x:v>Fixed</x:v>
      </x:c>
      <x:c r="J40" t="str">
        <x:v>Frontend</x:v>
      </x:c>
      <x:c r="K40" t="str">
        <x:v>Working tree</x:v>
      </x:c>
      <x:c r="L40" t="str">
        <x:v>Permission-filtered separation asset-link retest</x:v>
      </x:c>
      <x:c r="M40" t="str">
        <x:v>Passed</x:v>
      </x:c>
      <x:c r="N40" t="str">
        <x:v>frontend/features/hr-operations/lib/asset-resolution-links.test.ts</x:v>
      </x:c>
      <x:c r="O40" t="str">
        <x:v>Live-mutation separation golden thread remains Not Run.</x:v>
      </x:c>
    </x:row>
    <x:row r="41">
      <x:c r="A41" t="str">
        <x:v>RF-036</x:v>
      </x:c>
      <x:c r="B41" t="str">
        <x:v>P1</x:v>
      </x:c>
      <x:c r="C41" t="str">
        <x:v>Browser smoke runner</x:v>
      </x:c>
      <x:c r="D41" t="str">
        <x:v>scripts/qa/run-authenticated-smoke.ps1</x:v>
      </x:c>
      <x:c r="E41" t="str">
        <x:v>localhost and 127.0.0.1 loopback origins could diverge, breaking runner startup or session continuity.</x:v>
      </x:c>
      <x:c r="F41" t="str">
        <x:v>Implementation</x:v>
      </x:c>
      <x:c r="G41" t="str">
        <x:v>Merged working tree</x:v>
      </x:c>
      <x:c r="H41" t="str">
        <x:v>Deterministic runner-harness regression</x:v>
      </x:c>
      <x:c r="I41" t="str">
        <x:v>Fixed</x:v>
      </x:c>
      <x:c r="J41" t="str">
        <x:v>QA/Frontend</x:v>
      </x:c>
      <x:c r="K41" t="str">
        <x:v>Working tree</x:v>
      </x:c>
      <x:c r="L41" t="str">
        <x:v>Normalized loopback-origin runner retest</x:v>
      </x:c>
      <x:c r="M41" t="str">
        <x:v>Passed</x:v>
      </x:c>
      <x:c r="N41" t="str">
        <x:v>backend/.qa-runs/authenticated-smoke-playwright-20260918T104017949Z-9975f254.log</x:v>
      </x:c>
      <x:c r="O41" t="str">
        <x:v>59 passed, 0 failed and 3 deliberate live-mutation skips across 62 cases.</x:v>
      </x:c>
    </x:row>
    <x:row r="42">
      <x:c r="A42" t="str">
        <x:v>RF-037</x:v>
      </x:c>
      <x:c r="B42" t="str">
        <x:v>P1</x:v>
      </x:c>
      <x:c r="C42" t="str">
        <x:v>Page-control audit</x:v>
      </x:c>
      <x:c r="D42" t="str">
        <x:v>frontend/e2e/page-control-audit.spec.ts</x:v>
      </x:c>
      <x:c r="E42" t="str">
        <x:v>The page-control audit could run before auth refresh settled and report an unauthenticated control state.</x:v>
      </x:c>
      <x:c r="F42" t="str">
        <x:v>Implementation</x:v>
      </x:c>
      <x:c r="G42" t="str">
        <x:v>Merged working tree</x:v>
      </x:c>
      <x:c r="H42" t="str">
        <x:v>Deterministic harness regression</x:v>
      </x:c>
      <x:c r="I42" t="str">
        <x:v>Fixed</x:v>
      </x:c>
      <x:c r="J42" t="str">
        <x:v>QA/Frontend</x:v>
      </x:c>
      <x:c r="K42" t="str">
        <x:v>Working tree</x:v>
      </x:c>
      <x:c r="L42" t="str">
        <x:v>Auth-refresh-aware page-control harness retest</x:v>
      </x:c>
      <x:c r="M42" t="str">
        <x:v>Passed for historical inventory</x:v>
      </x:c>
      <x:c r="N42" t="str">
        <x:v>backend/.qa-runs/authenticated-smoke-playwright-20260918T104017949Z-9975f254.log</x:v>
      </x:c>
      <x:c r="O42" t="str">
        <x:v>The 2026-09-18 run covered 69 canonical routes: 68 audited, 0 unavailable, one planned/disabled; 73 unique internal links. The current 69-route composition replaces Settings with Approval workflows and requires a rerun.</x:v>
      </x:c>
    </x:row>
    <x:row r="43">
      <x:c r="A43" t="str">
        <x:v>RF-038</x:v>
      </x:c>
      <x:c r="B43" t="str">
        <x:v>P1</x:v>
      </x:c>
      <x:c r="C43" t="str">
        <x:v>Authentication degraded mode</x:v>
      </x:c>
      <x:c r="D43" t="str">
        <x:v>backend/src/modules/auth/session.service.ts</x:v>
      </x:c>
      <x:c r="E43" t="str">
        <x:v>With Redis disabled, six concurrent requests for one authenticated page could exceed the global PostgreSQL fallback limit and return HTTP 503.</x:v>
      </x:c>
      <x:c r="F43" t="str">
        <x:v>Implementation</x:v>
      </x:c>
      <x:c r="G43" t="str">
        <x:v>Merged working tree</x:v>
      </x:c>
      <x:c r="H43" t="str">
        <x:v>Authenticated browser reproduction plus deterministic concurrency tests</x:v>
      </x:c>
      <x:c r="I43" t="str">
        <x:v>Fixed</x:v>
      </x:c>
      <x:c r="J43" t="str">
        <x:v>Backend/Security</x:v>
      </x:c>
      <x:c r="K43" t="str">
        <x:v>Working tree</x:v>
      </x:c>
      <x:c r="L43" t="str">
        <x:v>Same-session fallback coalescing and distinct-session overload retest</x:v>
      </x:c>
      <x:c r="M43" t="str">
        <x:v>Passed</x:v>
      </x:c>
      <x:c r="N43" t="str">
        <x:v>backend/test/foundation/session-rotation.spec.ts; backend/.qa-runs/authenticated-smoke-playwright-20260918T104017949Z-9975f254.log</x:v>
      </x:c>
      <x:c r="O43" t="str">
        <x:v>Final authenticated browser rerun completed with zero HTTP 503 failures.</x:v>
      </x:c>
    </x:row>
    <x:row r="44">
      <x:c r="A44" t="str">
        <x:v>RF-039</x:v>
      </x:c>
      <x:c r="B44" t="str">
        <x:v>P2</x:v>
      </x:c>
      <x:c r="C44" t="str">
        <x:v>Form accessibility</x:v>
      </x:c>
      <x:c r="D44" t="str">
        <x:v>Recruitment interview and leave-balance filters</x:v>
      </x:c>
      <x:c r="E44" t="str">
        <x:v>Date/year, Company, Branch, job-opening, status and employee-search filters lacked reliable accessible names.</x:v>
      </x:c>
      <x:c r="F44" t="str">
        <x:v>Implementation</x:v>
      </x:c>
      <x:c r="G44" t="str">
        <x:v>Merged working tree</x:v>
      </x:c>
      <x:c r="H44" t="str">
        <x:v>Page-control audit plus component tests</x:v>
      </x:c>
      <x:c r="I44" t="str">
        <x:v>Fixed</x:v>
      </x:c>
      <x:c r="J44" t="str">
        <x:v>Frontend</x:v>
      </x:c>
      <x:c r="K44" t="str">
        <x:v>Working tree</x:v>
      </x:c>
      <x:c r="L44" t="str">
        <x:v>Label association regression</x:v>
      </x:c>
      <x:c r="M44" t="str">
        <x:v>Passed</x:v>
      </x:c>
      <x:c r="N44" t="str">
        <x:v>frontend/features/recruitment/interviews/components/interview-workspace.test.tsx; frontend/features/leave-balance/components/employee-leave-balance-workspace.test.tsx; frontend/features/leave-balance/dialogs/generate-leave-balances-sheet.test.tsx</x:v>
      </x:c>
      <x:c r="O44" t="str">
        <x:v>Final control audit found no unnamed visible enabled controls.</x:v>
      </x:c>
    </x:row>
    <x:row r="45">
      <x:c r="A45" t="str">
        <x:v>RF-040</x:v>
      </x:c>
      <x:c r="B45" t="str">
        <x:v>P2</x:v>
      </x:c>
      <x:c r="C45" t="str">
        <x:v>Page-control audit stability</x:v>
      </x:c>
      <x:c r="D45" t="str">
        <x:v>frontend/e2e/page-control-audit.spec.ts</x:v>
      </x:c>
      <x:c r="E45" t="str">
        <x:v>A data-driven combobox could rerender between enumeration and activation, producing a detached-handle false positive.</x:v>
      </x:c>
      <x:c r="F45" t="str">
        <x:v>Implementation</x:v>
      </x:c>
      <x:c r="G45" t="str">
        <x:v>Merged working tree</x:v>
      </x:c>
      <x:c r="H45" t="str">
        <x:v>Deterministic locator review and focused lint</x:v>
      </x:c>
      <x:c r="I45" t="str">
        <x:v>Fixed</x:v>
      </x:c>
      <x:c r="J45" t="str">
        <x:v>QA/Frontend</x:v>
      </x:c>
      <x:c r="K45" t="str">
        <x:v>Working tree</x:v>
      </x:c>
      <x:c r="L45" t="str">
        <x:v>Live accessible-role/name re-resolution before safe activation</x:v>
      </x:c>
      <x:c r="M45" t="str">
        <x:v>Passed for historical inventory</x:v>
      </x:c>
      <x:c r="N45" t="str">
        <x:v>backend/.qa-runs/authenticated-smoke-playwright-20260918T104017949Z-9975f254.log</x:v>
      </x:c>
      <x:c r="O45" t="str">
        <x:v>The 2026-09-18 69-route audit passed; the current 69-route composition requires a rerun.</x:v>
      </x:c>
    </x:row>
    <x:row r="46">
      <x:c r="A46" t="str">
        <x:v>RF-041</x:v>
      </x:c>
      <x:c r="B46" t="str">
        <x:v>P0</x:v>
      </x:c>
      <x:c r="C46" t="str">
        <x:v>Database script safety</x:v>
      </x:c>
      <x:c r="D46" t="str">
        <x:v>backend/package.json and retained migration/backfill scripts</x:v>
      </x:c>
      <x:c r="E46" t="str">
        <x:v>Seven retained write-capable commands could target whichever schema the environment selected without the exact staging sentinel guard.</x:v>
      </x:c>
      <x:c r="F46" t="str">
        <x:v>Implementation</x:v>
      </x:c>
      <x:c r="G46" t="str">
        <x:v>Merged working tree</x:v>
      </x:c>
      <x:c r="H46" t="str">
        <x:v>Manifest/source audit plus staging-safety suite</x:v>
      </x:c>
      <x:c r="I46" t="str">
        <x:v>Fixed</x:v>
      </x:c>
      <x:c r="J46" t="str">
        <x:v>Backend/QA</x:v>
      </x:c>
      <x:c r="K46" t="str">
        <x:v>Working tree</x:v>
      </x:c>
      <x:c r="L46" t="str">
        <x:v>Exact target, confirmation token and sentinel required immediately before mutation</x:v>
      </x:c>
      <x:c r="M46" t="str">
        <x:v>Passed</x:v>
      </x:c>
      <x:c r="N46" t="str">
        <x:v>backend/test/foundation/qa-staging-safety.spec.ts</x:v>
      </x:c>
      <x:c r="O46" t="str">
        <x:v>Current-schema promotion requires a separately reviewed current-target path; these QA commands fail closed on dsp_pms.</x:v>
      </x:c>
    </x:row>
    <x:row r="47">
      <x:c r="A47" t="str">
        <x:v>RF-042</x:v>
      </x:c>
      <x:c r="B47" t="str">
        <x:v>P2</x:v>
      </x:c>
      <x:c r="C47" t="str">
        <x:v>Document retention controls</x:v>
      </x:c>
      <x:c r="D47" t="str">
        <x:v>frontend/app/(dashboard)/settings/security/document-retention/page.tsx</x:v>
      </x:c>
      <x:c r="E47" t="str">
        <x:v>Repeated Rule, Value, Enabled, Save and Approve controls were not distinguishable by policy to assistive technology or automation.</x:v>
      </x:c>
      <x:c r="F47" t="str">
        <x:v>Implementation</x:v>
      </x:c>
      <x:c r="G47" t="str">
        <x:v>Merged working tree</x:v>
      </x:c>
      <x:c r="H47" t="str">
        <x:v>Manual browser reproduction plus component tests</x:v>
      </x:c>
      <x:c r="I47" t="str">
        <x:v>Fixed</x:v>
      </x:c>
      <x:c r="J47" t="str">
        <x:v>Frontend/Security</x:v>
      </x:c>
      <x:c r="K47" t="str">
        <x:v>Working tree</x:v>
      </x:c>
      <x:c r="L47" t="str">
        <x:v>Policy-specific labels and action names</x:v>
      </x:c>
      <x:c r="M47" t="str">
        <x:v>Passed</x:v>
      </x:c>
      <x:c r="N47" t="str">
        <x:v>frontend/app/(dashboard)/settings/security/document-retention/page.test.tsx; backend/.qa-runs/authenticated-smoke-playwright-20260918T104017949Z-9975f254.log</x:v>
      </x:c>
      <x:c r="O47" t="str">
        <x:v>All five policy rows expose distinct contextual control names.</x:v>
      </x:c>
    </x:row>
    <x:row r="48">
      <x:c r="A48" t="str">
        <x:v>RF-043</x:v>
      </x:c>
      <x:c r="B48" t="str">
        <x:v>P1</x:v>
      </x:c>
      <x:c r="C48" t="str">
        <x:v>Critical workflow controls</x:v>
      </x:c>
      <x:c r="D48" t="str">
        <x:v>Finance, Projects, Assets, Calendar, Employee and Security forms</x:v>
      </x:c>
      <x:c r="E48" t="str">
        <x:v>Visible filters, selectors, row actions and form fields could be ambiguous or unnamed, making workflows difficult to understand and audit.</x:v>
      </x:c>
      <x:c r="F48" t="str">
        <x:v>Implementation</x:v>
      </x:c>
      <x:c r="G48" t="str">
        <x:v>Merged working tree</x:v>
      </x:c>
      <x:c r="H48" t="str">
        <x:v>Manual browser reproduction, focused tests and full page audit</x:v>
      </x:c>
      <x:c r="I48" t="str">
        <x:v>Fixed</x:v>
      </x:c>
      <x:c r="J48" t="str">
        <x:v>Frontend</x:v>
      </x:c>
      <x:c r="K48" t="str">
        <x:v>Working tree</x:v>
      </x:c>
      <x:c r="L48" t="str">
        <x:v>Accessible names, label associations and contextual action names</x:v>
      </x:c>
      <x:c r="M48" t="str">
        <x:v>Passed</x:v>
      </x:c>
      <x:c r="N48" t="str">
        <x:v>63 Vitest files / 163 tests; backend/.qa-runs/authenticated-smoke-playwright-20260918T104017949Z-9975f254.log</x:v>
      </x:c>
      <x:c r="O48" t="str">
        <x:v>Manual computer-use smoke verified representative create forms without submitting data.</x:v>
      </x:c>
    </x:row>
    <x:row r="49">
      <x:c r="A49" t="str">
        <x:v>RF-044</x:v>
      </x:c>
      <x:c r="B49" t="str">
        <x:v>P1</x:v>
      </x:c>
      <x:c r="C49" t="str">
        <x:v>Finance pagination</x:v>
      </x:c>
      <x:c r="D49" t="str">
        <x:v>backend/src/modules/office-finance/dto/finance-transaction.dto.ts</x:v>
      </x:c>
      <x:c r="E49" t="str">
        <x:v>Page and limit query strings reached Prisma unchanged, causing a 400 with take set to a string on the Transactions page.</x:v>
      </x:c>
      <x:c r="F49" t="str">
        <x:v>Implementation</x:v>
      </x:c>
      <x:c r="G49" t="str">
        <x:v>Merged working tree</x:v>
      </x:c>
      <x:c r="H49" t="str">
        <x:v>Authenticated browser reproduction plus DTO tests</x:v>
      </x:c>
      <x:c r="I49" t="str">
        <x:v>Fixed</x:v>
      </x:c>
      <x:c r="J49" t="str">
        <x:v>Backend/Finance</x:v>
      </x:c>
      <x:c r="K49" t="str">
        <x:v>Working tree</x:v>
      </x:c>
      <x:c r="L49" t="str">
        <x:v>Transform and validate numeric pagination before Prisma</x:v>
      </x:c>
      <x:c r="M49" t="str">
        <x:v>Passed</x:v>
      </x:c>
      <x:c r="N49" t="str">
        <x:v>backend DTO tests; backend/.qa-runs/authenticated-smoke-playwright-20260918T104017949Z-9975f254.log</x:v>
      </x:c>
      <x:c r="O49" t="str">
        <x:v>Finance Transactions now loads and its create dialog was manually inspected and cancelled without mutation.</x:v>
      </x:c>
    </x:row>
    <x:row r="50">
      <x:c r="A50" t="str">
        <x:v>RF-045</x:v>
      </x:c>
      <x:c r="B50" t="str">
        <x:v>P2</x:v>
      </x:c>
      <x:c r="C50" t="str">
        <x:v>Package script terminology</x:v>
      </x:c>
      <x:c r="D50" t="str">
        <x:v>backend/package.json and backend/scripts</x:v>
      </x:c>
      <x:c r="E50" t="str">
        <x:v>Twelve retained package targets still exposed versioned filenames after public script-key cleanup.</x:v>
      </x:c>
      <x:c r="F50" t="str">
        <x:v>Implementation</x:v>
      </x:c>
      <x:c r="G50" t="str">
        <x:v>Merged working tree</x:v>
      </x:c>
      <x:c r="H50" t="str">
        <x:v>Manifest/source audit</x:v>
      </x:c>
      <x:c r="I50" t="str">
        <x:v>Fixed</x:v>
      </x:c>
      <x:c r="J50" t="str">
        <x:v>Backend/QA</x:v>
      </x:c>
      <x:c r="K50" t="str">
        <x:v>Working tree</x:v>
      </x:c>
      <x:c r="L50" t="str">
        <x:v>Canonical asset, delivery and projects filenames</x:v>
      </x:c>
      <x:c r="M50" t="str">
        <x:v>Passed</x:v>
      </x:c>
      <x:c r="N50" t="str">
        <x:v>backend/package.json; package target audit</x:v>
      </x:c>
      <x:c r="O50" t="str">
        <x:v>Active package targets use canonical names; internal compatibility identifiers and immutable migration/encrypted-data markers are intentionally retained.</x:v>
      </x:c>
    </x:row>
    <x:row r="51">
      <x:c r="A51" t="str">
        <x:v>RF-046</x:v>
      </x:c>
      <x:c r="B51" t="str">
        <x:v>P1</x:v>
      </x:c>
      <x:c r="C51" t="str">
        <x:v>Canonical Business Calendar baseline</x:v>
      </x:c>
      <x:c r="D51" t="str">
        <x:v>backend/scripts/qa/reference-master-data-seeder.ts and Business Calendar UI</x:v>
      </x:c>
      <x:c r="E51" t="str">
        <x:v>The seed creates legacy Branch working-day rows, but no canonical Company/Branch BusinessCalendar exists; the authenticated page reports No company calendar yet.</x:v>
      </x:c>
      <x:c r="F51" t="str">
        <x:v>Reference-data gap</x:v>
      </x:c>
      <x:c r="G51" t="str">
        <x:v>Merged working tree</x:v>
      </x:c>
      <x:c r="H51" t="str">
        <x:v>Authenticated browser reproduction</x:v>
      </x:c>
      <x:c r="I51" t="str">
        <x:v>Open</x:v>
      </x:c>
      <x:c r="J51" t="str">
        <x:v>Backend/Product/QA</x:v>
      </x:c>
      <x:c r="K51" t="str"/>
      <x:c r="L51" t="str">
        <x:v>Create and publish calendars through the command-owned review workflow</x:v>
      </x:c>
      <x:c r="M51" t="str">
        <x:v>Not Run</x:v>
      </x:c>
      <x:c r="N51" t="str">
        <x:v>backend/.qa-runs/authenticated-smoke-playwright-20260918T104017949Z-9975f254.log</x:v>
      </x:c>
      <x:c r="O51" t="str">
        <x:v>Blocks Calendar→roster→attendance golden-thread sign-off; direct Prisma publication remains forbidden.</x:v>
      </x:c>
    </x:row>
    <x:row r="52">
      <x:c r="A52" t="str">
        <x:v>RF-047</x:v>
      </x:c>
      <x:c r="B52" t="str">
        <x:v>P1</x:v>
      </x:c>
      <x:c r="C52" t="str">
        <x:v>Multi-Branch switching coverage</x:v>
      </x:c>
      <x:c r="D52" t="str">
        <x:v>reference persona role assignments</x:v>
      </x:c>
      <x:c r="E52" t="str">
        <x:v>The group owner can switch India/UAE Companies, but no reference login has two permitted Branches in one Company, so Branch switching cannot be proven.</x:v>
      </x:c>
      <x:c r="F52" t="str">
        <x:v>Coverage gap</x:v>
      </x:c>
      <x:c r="G52" t="str">
        <x:v>Merged working tree</x:v>
      </x:c>
      <x:c r="H52" t="str">
        <x:v>Authenticated browser review</x:v>
      </x:c>
      <x:c r="I52" t="str">
        <x:v>Open</x:v>
      </x:c>
      <x:c r="J52" t="str">
        <x:v>QA/Product</x:v>
      </x:c>
      <x:c r="K52" t="str"/>
      <x:c r="L52" t="str">
        <x:v>Add a bounded multi-Branch scoped persona or reviewed role assignment</x:v>
      </x:c>
      <x:c r="M52" t="str">
        <x:v>Not Run</x:v>
      </x:c>
      <x:c r="N52" t="str">
        <x:v>backend/.qa-runs/authenticated-smoke-playwright-20260918T104017949Z-9975f254.log</x:v>
      </x:c>
      <x:c r="O52" t="str">
        <x:v>Company switching passed; ordinary single-Branch restrictions remain intentional.</x:v>
      </x:c>
    </x:row>
    <x:row r="53">
      <x:c r="A53" t="str">
        <x:v>RF-048</x:v>
      </x:c>
      <x:c r="B53" t="str">
        <x:v>P1</x:v>
      </x:c>
      <x:c r="C53" t="str">
        <x:v>File download entitlements</x:v>
      </x:c>
      <x:c r="D53" t="str">
        <x:v>backend/src/modules/file-storage/services/file-download.service.ts</x:v>
      </x:c>
      <x:c r="E53" t="str">
        <x:v>Project documents, Finance attachments and payslips could reach presign logic without consistently rechecking the Company File Storage entitlement.</x:v>
      </x:c>
      <x:c r="F53" t="str">
        <x:v>Security review</x:v>
      </x:c>
      <x:c r="G53" t="str">
        <x:v>Merged working tree</x:v>
      </x:c>
      <x:c r="H53" t="str">
        <x:v>Deterministic service tests</x:v>
      </x:c>
      <x:c r="I53" t="str">
        <x:v>Fixed</x:v>
      </x:c>
      <x:c r="J53" t="str">
        <x:v>Backend/Security</x:v>
      </x:c>
      <x:c r="K53" t="str">
        <x:v>Working tree</x:v>
      </x:c>
      <x:c r="L53" t="str">
        <x:v>Entry and immediately-before-presign entitlement checks</x:v>
      </x:c>
      <x:c r="M53" t="str">
        <x:v>Passed</x:v>
      </x:c>
      <x:c r="N53" t="str">
        <x:v>backend/src/modules/file-storage/services/file-download.service.spec.ts; 6 tests</x:v>
      </x:c>
      <x:c r="O53" t="str">
        <x:v>Provider-backed object-storage and malware-scanner validation remains a release gate.</x:v>
      </x:c>
    </x:row>
    <x:row r="54">
      <x:c r="A54" t="str">
        <x:v>RF-049</x:v>
      </x:c>
      <x:c r="B54" t="str">
        <x:v>P1</x:v>
      </x:c>
      <x:c r="C54" t="str">
        <x:v>Finance report Branch scope</x:v>
      </x:c>
      <x:c r="D54" t="str">
        <x:v>backend/src/modules/office-finance/services/office-finance-reports.service.ts</x:v>
      </x:c>
      <x:c r="E54" t="str">
        <x:v>A Branch-scoped user could supply another valid Branch UUID in a report query and override the active Branch filter.</x:v>
      </x:c>
      <x:c r="F54" t="str">
        <x:v>Security review</x:v>
      </x:c>
      <x:c r="G54" t="str">
        <x:v>Merged working tree</x:v>
      </x:c>
      <x:c r="H54" t="str">
        <x:v>Hostile valid-UUID scope tests</x:v>
      </x:c>
      <x:c r="I54" t="str">
        <x:v>Fixed</x:v>
      </x:c>
      <x:c r="J54" t="str">
        <x:v>Backend/Finance</x:v>
      </x:c>
      <x:c r="K54" t="str">
        <x:v>Working tree</x:v>
      </x:c>
      <x:c r="L54" t="str">
        <x:v>Branch-scoped reports always enforce the active Branch; Company-wide users retain filtering</x:v>
      </x:c>
      <x:c r="M54" t="str">
        <x:v>Passed</x:v>
      </x:c>
      <x:c r="N54" t="str">
        <x:v>backend/src/modules/office-finance/services/office-finance-branch-scope.spec.ts; 6 tests</x:v>
      </x:c>
      <x:c r="O54" t="str">
        <x:v>Live maker/checker and report reconciliation remain Not Run.</x:v>
      </x:c>
    </x:row>
    <x:row r="55">
      <x:c r="A55" t="str">
        <x:v>RF-050</x:v>
      </x:c>
      <x:c r="B55" t="str">
        <x:v>P1</x:v>
      </x:c>
      <x:c r="C55" t="str">
        <x:v>Staging schema guard</x:v>
      </x:c>
      <x:c r="D55" t="str">
        <x:v>backend/scripts/assert-destructive-db-guard.ts</x:v>
      </x:c>
      <x:c r="E55" t="str">
        <x:v>PostgreSQL name[] decoding returned current_schemas(false) as a string and could falsely block a valid staging-only search path.</x:v>
      </x:c>
      <x:c r="F55" t="str">
        <x:v>Implementation</x:v>
      </x:c>
      <x:c r="G55" t="str">
        <x:v>Merged working tree</x:v>
      </x:c>
      <x:c r="H55" t="str">
        <x:v>Guarded staging migration reproduction</x:v>
      </x:c>
      <x:c r="I55" t="str">
        <x:v>Fixed</x:v>
      </x:c>
      <x:c r="J55" t="str">
        <x:v>Backend/QA</x:v>
      </x:c>
      <x:c r="K55" t="str">
        <x:v>Working tree</x:v>
      </x:c>
      <x:c r="L55" t="str">
        <x:v>Serialize current_schemas(false) as JSON before validation</x:v>
      </x:c>
      <x:c r="M55" t="str">
        <x:v>Passed</x:v>
      </x:c>
      <x:c r="N55" t="str">
        <x:v>backend/test/foundation/qa-staging-safety.spec.ts; 46 tests</x:v>
      </x:c>
      <x:c r="O55" t="str">
        <x:v>The guard still fails closed for dsp_pms, wrong target, sentinel or confirmation token.</x:v>
      </x:c>
    </x:row>
    <x:row r="56">
      <x:c r="A56" t="str">
        <x:v>RF-051</x:v>
      </x:c>
      <x:c r="B56" t="str">
        <x:v>P2</x:v>
      </x:c>
      <x:c r="C56" t="str">
        <x:v>QA Git executable portability</x:v>
      </x:c>
      <x:c r="D56" t="str">
        <x:v>backend/scripts/qa/seed-reference-data.ts and create-qa-run-manifest.ts</x:v>
      </x:c>
      <x:c r="E56" t="str">
        <x:v>QA evidence scripts assumed git was directly available on PATH and failed on the Windows workstation layout.</x:v>
      </x:c>
      <x:c r="F56" t="str">
        <x:v>Implementation</x:v>
      </x:c>
      <x:c r="G56" t="str">
        <x:v>Merged working tree</x:v>
      </x:c>
      <x:c r="H56" t="str">
        <x:v>Guarded reference-seed rerun</x:v>
      </x:c>
      <x:c r="I56" t="str">
        <x:v>Fixed</x:v>
      </x:c>
      <x:c r="J56" t="str">
        <x:v>Backend/QA</x:v>
      </x:c>
      <x:c r="K56" t="str">
        <x:v>Working tree</x:v>
      </x:c>
      <x:c r="L56" t="str">
        <x:v>Resolve GIT_BIN or the standard Windows Git executable before falling back to git</x:v>
      </x:c>
      <x:c r="M56" t="str">
        <x:v>Passed</x:v>
      </x:c>
      <x:c r="N56" t="str">
        <x:v>backend/.qa-runs/reference-seed-1789728103852.json; backend/.qa-runs/reference-seed-1789728130663.json</x:v>
      </x:c>
      <x:c r="O56" t="str">
        <x:v>No secret or tenant data is written to evidence.</x:v>
      </x:c>
    </x:row>
    <x:row r="57">
      <x:c r="A57" t="str">
        <x:v>RF-052</x:v>
      </x:c>
      <x:c r="B57" t="str">
        <x:v>P1</x:v>
      </x:c>
      <x:c r="C57" t="str">
        <x:v>Reused frontend origin</x:v>
      </x:c>
      <x:c r="D57" t="str">
        <x:v>scripts/qa/run-authenticated-smoke.ps1</x:v>
      </x:c>
      <x:c r="E57" t="str">
        <x:v>Using 127.0.0.1 for a reused localhost Next.js development server caused cross-origin chunk blocking and inactive controls.</x:v>
      </x:c>
      <x:c r="F57" t="str">
        <x:v>Implementation</x:v>
      </x:c>
      <x:c r="G57" t="str">
        <x:v>Merged working tree</x:v>
      </x:c>
      <x:c r="H57" t="str">
        <x:v>Authenticated Playwright rerun</x:v>
      </x:c>
      <x:c r="I57" t="str">
        <x:v>Fixed</x:v>
      </x:c>
      <x:c r="J57" t="str">
        <x:v>QA/Frontend</x:v>
      </x:c>
      <x:c r="K57" t="str">
        <x:v>Working tree</x:v>
      </x:c>
      <x:c r="L57" t="str">
        <x:v>Reuse the exact localhost origin and terminate only runner-owned process trees</x:v>
      </x:c>
      <x:c r="M57" t="str">
        <x:v>Passed</x:v>
      </x:c>
      <x:c r="N57" t="str">
        <x:v>backend/.qa-runs/authenticated-smoke-playwright-20260918T104017949Z-9975f254.log</x:v>
      </x:c>
      <x:c r="O57" t="str">
        <x:v>Existing user-owned frontend processes are never terminated by reuse mode.</x:v>
      </x:c>
    </x:row>
    <x:row r="58">
      <x:c r="A58" t="str">
        <x:v>RF-053</x:v>
      </x:c>
      <x:c r="B58" t="str">
        <x:v>P2</x:v>
      </x:c>
      <x:c r="C58" t="str">
        <x:v>Navigation placeholder</x:v>
      </x:c>
      <x:c r="D58" t="str">
        <x:v>frontend/config/navigation.ts</x:v>
      </x:c>
      <x:c r="E58" t="str">
        <x:v>The hidden /settings item counted as a route even though no page or workflow existed.</x:v>
      </x:c>
      <x:c r="F58" t="str">
        <x:v>Implementation</x:v>
      </x:c>
      <x:c r="G58" t="str">
        <x:v>PMS-170926 working tree</x:v>
      </x:c>
      <x:c r="H58" t="str">
        <x:v>Navigation contract review</x:v>
      </x:c>
      <x:c r="I58" t="str">
        <x:v>Fixed</x:v>
      </x:c>
      <x:c r="J58" t="str">
        <x:v>Frontend/Product</x:v>
      </x:c>
      <x:c r="K58" t="str">
        <x:v>Working tree</x:v>
      </x:c>
      <x:c r="L58" t="str">
        <x:v>Remove the dead placeholder and require zero planned routes</x:v>
      </x:c>
      <x:c r="M58" t="str">
        <x:v>Passed</x:v>
      </x:c>
      <x:c r="N58" t="str">
        <x:v>frontend/config/navigation.test.ts; 8 tests</x:v>
      </x:c>
      <x:c r="O58" t="str">
        <x:v>The implemented document-retention route remains under Security.</x:v>
      </x:c>
    </x:row>
    <x:row r="59">
      <x:c r="A59" t="str">
        <x:v>RF-054</x:v>
      </x:c>
      <x:c r="B59" t="str">
        <x:v>P1</x:v>
      </x:c>
      <x:c r="C59" t="str">
        <x:v>Company module administration</x:v>
      </x:c>
      <x:c r="D59" t="str">
        <x:v>Company module entitlement API and Company detail page</x:v>
      </x:c>
      <x:c r="E59" t="str">
        <x:v>Company entitlements existed in the database and runtime gates but administrators had no supported workflow to review or change them.</x:v>
      </x:c>
      <x:c r="F59" t="str">
        <x:v>Implementation</x:v>
      </x:c>
      <x:c r="G59" t="str">
        <x:v>PMS-170926 working tree</x:v>
      </x:c>
      <x:c r="H59" t="str">
        <x:v>TDD service/component validation plus authenticated browser smoke</x:v>
      </x:c>
      <x:c r="I59" t="str">
        <x:v>Fixed</x:v>
      </x:c>
      <x:c r="J59" t="str">
        <x:v>Backend/Frontend/Product</x:v>
      </x:c>
      <x:c r="K59" t="str">
        <x:v>Working tree</x:v>
      </x:c>
      <x:c r="L59" t="str">
        <x:v>Scoped read/manage API, dependency rules, atomic audit and accessible controls</x:v>
      </x:c>
      <x:c r="M59" t="str">
        <x:v>Passed</x:v>
      </x:c>
      <x:c r="N59" t="str">
        <x:v>3 backend + 16 frontend focused tests; Owner, HR and Employee browser evidence</x:v>
      </x:c>
      <x:c r="O59" t="str">
        <x:v>Owner manage, HR read-only and Employee denied states passed; dependency behavior was exercised without saving a staging change.</x:v>
      </x:c>
    </x:row>
  </x:sheetData>
  <x:conditionalFormatting sqref="B6:B14">
    <x:cfRule type="containsText" dxfId="11" priority="1" operator="containsText" text="P1"/>
  </x:conditionalFormatting>
  <x:conditionalFormatting sqref="M6:M14">
    <x:cfRule type="containsText" dxfId="12" priority="2" operator="containsText" text="Passed"/>
  </x:conditionalFormatting>
  <x:dataValidations count="3">
    <x:dataValidation type="list" sqref="B6:B14">
      <x:formula1>"P0,P1,P2,P3"</x:formula1>
    </x:dataValidation>
    <x:dataValidation type="list" sqref="I6:I14">
      <x:formula1>"Open,In Progress,Ready for Retest,Closed,Accepted Risk,Deferred"</x:formula1>
    </x:dataValidation>
    <x:dataValidation type="list" sqref="M6:M14">
      <x:formula1>"Not Run,In Progress,Passed,Failed,Blocked"</x:formula1>
    </x:dataValidation>
  </x:dataValidations>
  <x:pageMargins left="0.7" right="0.7" top="0.75" bottom="0.75" header="0.3" footer="0.3"/>
  <x:tableParts count="1">
    <x:tablePart xmlns:r="http://schemas.openxmlformats.org/officeDocument/2006/relationships" r:id="R2f711714e8244d6c"/>
  </x:tableParts>
</x:worksheet>
</file>

<file path=xl/worksheets/sheet6.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5" hidden="0" customWidth="1"/>
    <x:col min="2" max="2" width="25" hidden="0" customWidth="1"/>
    <x:col min="3" max="3" width="30" hidden="0" customWidth="1"/>
    <x:col min="4" max="4" width="25" hidden="0" customWidth="1"/>
    <x:col min="5" max="5" width="70" hidden="0" customWidth="1"/>
    <x:col min="6" max="6" width="30" hidden="0" customWidth="1"/>
    <x:col min="7" max="7" width="28" hidden="0" customWidth="1"/>
    <x:col min="8" max="8" width="17" hidden="0" customWidth="1"/>
    <x:col min="9" max="9" width="22" hidden="0" customWidth="1"/>
    <x:col min="10" max="10" width="38" hidden="0" customWidth="1"/>
  </x:cols>
  <x:sheetData>
    <x:row r="1">
      <x:c r="A1" s="1" t="str">
        <x:v>Historical baseline — Documentation (2026-09-09; superseded)</x:v>
      </x:c>
      <x:c r="B1" s="1"/>
      <x:c r="C1" s="1"/>
      <x:c r="D1" s="1"/>
      <x:c r="E1" s="1"/>
      <x:c r="F1" s="1"/>
      <x:c r="G1" s="1"/>
      <x:c r="H1" s="1"/>
      <x:c r="I1" s="1"/>
      <x:c r="J1" s="1"/>
    </x:row>
    <x:row r="2">
      <x:c r="A2" s="2" t="str">
        <x:v>DSP ERP English menu-plus-role documentation plan</x:v>
      </x:c>
      <x:c r="B2" s="2"/>
      <x:c r="C2" s="2"/>
      <x:c r="D2" s="2"/>
      <x:c r="E2" s="2"/>
      <x:c r="F2" s="2"/>
      <x:c r="G2" s="2"/>
      <x:c r="H2" s="2"/>
      <x:c r="I2" s="2"/>
      <x:c r="J2" s="2"/>
    </x:row>
    <x:row r="3">
      <x:c r="A3" s="62" t="str">
        <x:v>Retained for traceability only. Do not execute legacy UAT, V1/V2/Lite/Legacy, environment-allowlist, or isolated-database instructions from this sheet; use the 2026-09-17 sheets and staging-safety runbook.</x:v>
      </x:c>
      <x:c r="B3" s="3"/>
      <x:c r="C3" s="3"/>
      <x:c r="D3" s="3"/>
      <x:c r="E3" s="3"/>
      <x:c r="F3" s="3"/>
      <x:c r="G3" s="3"/>
      <x:c r="H3" s="3"/>
      <x:c r="I3" s="3"/>
      <x:c r="J3" s="3"/>
    </x:row>
    <x:row r="4" ht="4" customHeight="1">
      <x:c r="A4" s="4"/>
      <x:c r="B4" s="4"/>
      <x:c r="C4" s="4"/>
      <x:c r="D4" s="4"/>
      <x:c r="E4" s="4"/>
      <x:c r="F4" s="4"/>
      <x:c r="G4" s="4"/>
      <x:c r="H4" s="4"/>
      <x:c r="I4" s="4"/>
      <x:c r="J4" s="4"/>
    </x:row>
    <x:row r="5" ht="36" customHeight="1">
      <x:c r="A5" s="16" t="str">
        <x:v>Document ID</x:v>
      </x:c>
      <x:c r="B5" s="17" t="str">
        <x:v>Module</x:v>
      </x:c>
      <x:c r="C5" s="17" t="str">
        <x:v>Audience</x:v>
      </x:c>
      <x:c r="D5" s="17" t="str">
        <x:v>Document type</x:v>
      </x:c>
      <x:c r="E5" s="17" t="str">
        <x:v>Required content</x:v>
      </x:c>
      <x:c r="F5" s="17" t="str">
        <x:v>Availability label</x:v>
      </x:c>
      <x:c r="G5" s="17" t="str">
        <x:v>Related tasks</x:v>
      </x:c>
      <x:c r="H5" s="17" t="str">
        <x:v>Status</x:v>
      </x:c>
      <x:c r="I5" s="17" t="str">
        <x:v>Reviewer</x:v>
      </x:c>
      <x:c r="J5" s="18" t="str">
        <x:v>Acceptance evidence</x:v>
      </x:c>
    </x:row>
    <x:row r="6">
      <x:c r="A6" s="22" t="str">
        <x:v>DOCPLAN-01</x:v>
      </x:c>
      <x:c r="B6" s="22" t="str">
        <x:v>All modules</x:v>
      </x:c>
      <x:c r="C6" s="22" t="str">
        <x:v>All users</x:v>
      </x:c>
      <x:c r="D6" s="22" t="str">
        <x:v>Shared UI standard</x:v>
      </x:c>
      <x:c r="E6" s="22" t="str">
        <x:v>Navigation model; full-page versus dialog rule; page header; actions; forms; tables; loading/empty/error/denied states; responsive and accessibility rules</x:v>
      </x:c>
      <x:c r="F6" s="22" t="str">
        <x:v>Proposed</x:v>
      </x:c>
      <x:c r="G6" s="22" t="str">
        <x:v>UX-01–UX-06</x:v>
      </x:c>
      <x:c r="H6" s="22" t="str">
        <x:v>Backlog</x:v>
      </x:c>
      <x:c r="I6" s="28" t="str">
        <x:v>UX Owner</x:v>
      </x:c>
      <x:c r="J6" s="22" t="str">
        <x:v>Final SHA UI review</x:v>
      </x:c>
    </x:row>
    <x:row r="7">
      <x:c r="A7" s="23" t="str">
        <x:v>DOCPLAN-02</x:v>
      </x:c>
      <x:c r="B7" s="23" t="str">
        <x:v>Authentication and Organization</x:v>
      </x:c>
      <x:c r="C7" s="23" t="str">
        <x:v>Owner and invited User</x:v>
      </x:c>
      <x:c r="D7" s="23" t="str">
        <x:v>User guide</x:v>
      </x:c>
      <x:c r="E7" s="23" t="str">
        <x:v>Registration; login; invitation; password recovery; organization setup; resume/retry; founding Employee recovery; first Dashboard</x:v>
      </x:c>
      <x:c r="F7" s="23" t="str">
        <x:v>Implemented / improvement needed</x:v>
      </x:c>
      <x:c r="G7" s="23" t="str">
        <x:v>AUTH-01, ORG-01–ORG-04</x:v>
      </x:c>
      <x:c r="H7" s="23" t="str">
        <x:v>Backlog</x:v>
      </x:c>
      <x:c r="I7" s="29" t="str">
        <x:v>HR Owner</x:v>
      </x:c>
      <x:c r="J7" s="23" t="str">
        <x:v>Persona walkthrough</x:v>
      </x:c>
    </x:row>
    <x:row r="8">
      <x:c r="A8" s="23" t="str">
        <x:v>DOCPLAN-03</x:v>
      </x:c>
      <x:c r="B8" s="23" t="str">
        <x:v>Administration</x:v>
      </x:c>
      <x:c r="C8" s="23" t="str">
        <x:v>Organization Admin</x:v>
      </x:c>
      <x:c r="D8" s="23" t="str">
        <x:v>Administrator guide</x:v>
      </x:c>
      <x:c r="E8" s="23" t="str">
        <x:v>Company Group; Company; Branch; Department; Designation; Shift; Calendar; setup order; archive/deactivate effects</x:v>
      </x:c>
      <x:c r="F8" s="23" t="str">
        <x:v>Implemented / improvement needed</x:v>
      </x:c>
      <x:c r="G8" s="23" t="str">
        <x:v>ADM-01–ADM-04</x:v>
      </x:c>
      <x:c r="H8" s="23" t="str">
        <x:v>Backlog</x:v>
      </x:c>
      <x:c r="I8" s="29" t="str">
        <x:v>Organization Admin</x:v>
      </x:c>
      <x:c r="J8" s="23" t="str">
        <x:v>Module sign-off</x:v>
      </x:c>
    </x:row>
    <x:row r="9">
      <x:c r="A9" s="23" t="str">
        <x:v>DOCPLAN-04</x:v>
      </x:c>
      <x:c r="B9" s="23" t="str">
        <x:v>Users and Roles</x:v>
      </x:c>
      <x:c r="C9" s="23" t="str">
        <x:v>Security Admin</x:v>
      </x:c>
      <x:c r="D9" s="23" t="str">
        <x:v>Administrator guide</x:v>
      </x:c>
      <x:c r="E9" s="23" t="str">
        <x:v>Employee versus User; invitation; scoped roles; effective access preview; system role protection; session revocation; audit</x:v>
      </x:c>
      <x:c r="F9" s="23" t="str">
        <x:v>Implemented / improvement needed</x:v>
      </x:c>
      <x:c r="G9" s="23" t="str">
        <x:v>SEC-01–SEC-03</x:v>
      </x:c>
      <x:c r="H9" s="23" t="str">
        <x:v>Backlog</x:v>
      </x:c>
      <x:c r="I9" s="29" t="str">
        <x:v>Security</x:v>
      </x:c>
      <x:c r="J9" s="23" t="str">
        <x:v>Permission matrix</x:v>
      </x:c>
    </x:row>
    <x:row r="10">
      <x:c r="A10" s="23" t="str">
        <x:v>DOCPLAN-05</x:v>
      </x:c>
      <x:c r="B10" s="23" t="str">
        <x:v>Employees</x:v>
      </x:c>
      <x:c r="C10" s="23" t="str">
        <x:v>HR and Manager</x:v>
      </x:c>
      <x:c r="D10" s="23" t="str">
        <x:v>Menu-plus-role guide</x:v>
      </x:c>
      <x:c r="E10" s="23" t="str">
        <x:v>Directory; filters; profile; create/edit; career/status; role restrictions; error recovery</x:v>
      </x:c>
      <x:c r="F10" s="23" t="str">
        <x:v>Implemented / improvement needed</x:v>
      </x:c>
      <x:c r="G10" s="23" t="str">
        <x:v>EMP-001–EMP-003</x:v>
      </x:c>
      <x:c r="H10" s="23" t="str">
        <x:v>Backlog</x:v>
      </x:c>
      <x:c r="I10" s="29" t="str">
        <x:v>HR Owner</x:v>
      </x:c>
      <x:c r="J10" s="23" t="str">
        <x:v>HR persona UAT</x:v>
      </x:c>
    </x:row>
    <x:row r="11">
      <x:c r="A11" s="23" t="str">
        <x:v>DOCPLAN-06</x:v>
      </x:c>
      <x:c r="B11" s="23" t="str">
        <x:v>Employee Documents</x:v>
      </x:c>
      <x:c r="C11" s="23" t="str">
        <x:v>HR Verifier and Employee</x:v>
      </x:c>
      <x:c r="D11" s="23" t="str">
        <x:v>Workflow guide</x:v>
      </x:c>
      <x:c r="E11" s="23" t="str">
        <x:v>Category/Type setup; register/upload; scan states; verify/reject/reset; secure download; retention and permissions</x:v>
      </x:c>
      <x:c r="F11" s="23" t="str">
        <x:v>Partial / provider-dependent</x:v>
      </x:c>
      <x:c r="G11" s="23" t="str">
        <x:v>DOC-001–DOC-003</x:v>
      </x:c>
      <x:c r="H11" s="23" t="str">
        <x:v>Backlog</x:v>
      </x:c>
      <x:c r="I11" s="29" t="str">
        <x:v>HR and Security</x:v>
      </x:c>
      <x:c r="J11" s="23" t="str">
        <x:v>Real S3/ClamAV evidence</x:v>
      </x:c>
    </x:row>
    <x:row r="12">
      <x:c r="A12" s="23" t="str">
        <x:v>DOCPLAN-07</x:v>
      </x:c>
      <x:c r="B12" s="23" t="str">
        <x:v>Recruitment</x:v>
      </x:c>
      <x:c r="C12" s="23" t="str">
        <x:v>Recruiter, Manager, Candidate</x:v>
      </x:c>
      <x:c r="D12" s="23" t="str">
        <x:v>Workflow guide</x:v>
      </x:c>
      <x:c r="E12" s="23" t="str">
        <x:v>Opening; public application; screening; interview; decision; offer; delivery; signature; conversion; ownership and status meanings</x:v>
      </x:c>
      <x:c r="F12" s="23" t="str">
        <x:v>Partial / provider-dependent</x:v>
      </x:c>
      <x:c r="G12" s="23" t="str">
        <x:v>REC-001–REC-008</x:v>
      </x:c>
      <x:c r="H12" s="23" t="str">
        <x:v>Backlog</x:v>
      </x:c>
      <x:c r="I12" s="29" t="str">
        <x:v>Recruitment Owner</x:v>
      </x:c>
      <x:c r="J12" s="23" t="str">
        <x:v>Provider and persona UAT</x:v>
      </x:c>
    </x:row>
    <x:row r="13">
      <x:c r="A13" s="23" t="str">
        <x:v>DOCPLAN-08</x:v>
      </x:c>
      <x:c r="B13" s="23" t="str">
        <x:v>Designation onboarding</x:v>
      </x:c>
      <x:c r="C13" s="23" t="str">
        <x:v>Structure and Onboarding Admin</x:v>
      </x:c>
      <x:c r="D13" s="23" t="str">
        <x:v>Current-state guide</x:v>
      </x:c>
      <x:c r="E13" s="23" t="str">
        <x:v>Two entry points; full-page create; optional involvement Department; permissions; feature gate; Branch scope; atomic outcome; recovery</x:v>
      </x:c>
      <x:c r="F13" s="23" t="str">
        <x:v>Recently implemented / hardening required</x:v>
      </x:c>
      <x:c r="G13" s="23" t="str">
        <x:v>W0-03–W0-07, DES-01–DES-07</x:v>
      </x:c>
      <x:c r="H13" s="23" t="str">
        <x:v>Backlog</x:v>
      </x:c>
      <x:c r="I13" s="29" t="str">
        <x:v>HR Owner</x:v>
      </x:c>
      <x:c r="J13" s="23" t="str">
        <x:v>Recent-change retest</x:v>
      </x:c>
    </x:row>
    <x:row r="14">
      <x:c r="A14" s="23" t="str">
        <x:v>DOCPLAN-09</x:v>
      </x:c>
      <x:c r="B14" s="23" t="str">
        <x:v>Onboarding Templates</x:v>
      </x:c>
      <x:c r="C14" s="23" t="str">
        <x:v>HR and Department Owner</x:v>
      </x:c>
      <x:c r="D14" s="23" t="str">
        <x:v>Administrator guide</x:v>
      </x:c>
      <x:c r="E14" s="23" t="str">
        <x:v>Designation hierarchy; Departments; groups; tasks; dependencies; validation; versions; publish; zero-task readiness; inactive handling</x:v>
      </x:c>
      <x:c r="F14" s="23" t="str">
        <x:v>Partial</x:v>
      </x:c>
      <x:c r="G14" s="23" t="str">
        <x:v>ONB-004–ONB-005</x:v>
      </x:c>
      <x:c r="H14" s="23" t="str">
        <x:v>Backlog</x:v>
      </x:c>
      <x:c r="I14" s="29" t="str">
        <x:v>HR Owner</x:v>
      </x:c>
      <x:c r="J14" s="23" t="str">
        <x:v>Template authoring UAT</x:v>
      </x:c>
    </x:row>
    <x:row r="15">
      <x:c r="A15" s="23" t="str">
        <x:v>DOCPLAN-10</x:v>
      </x:c>
      <x:c r="B15" s="23" t="str">
        <x:v>Employee Onboarding</x:v>
      </x:c>
      <x:c r="C15" s="23" t="str">
        <x:v>HR, Employee, Assignee, Asset Custodian</x:v>
      </x:c>
      <x:c r="D15" s="23" t="str">
        <x:v>Menu-plus-role guide</x:v>
      </x:c>
      <x:c r="E15" s="23" t="str">
        <x:v>Preflight/start; My Tasks; Department queue; assignment; task actions; asset fulfilment; skip/reopen/waive; completion; reminders</x:v>
      </x:c>
      <x:c r="F15" s="23" t="str">
        <x:v>Partial</x:v>
      </x:c>
      <x:c r="G15" s="23" t="str">
        <x:v>ONB-006–ONB-008</x:v>
      </x:c>
      <x:c r="H15" s="23" t="str">
        <x:v>Backlog</x:v>
      </x:c>
      <x:c r="I15" s="29" t="str">
        <x:v>HR Owner</x:v>
      </x:c>
      <x:c r="J15" s="23" t="str">
        <x:v>Multi-persona UAT</x:v>
      </x:c>
    </x:row>
    <x:row r="16">
      <x:c r="A16" s="23" t="str">
        <x:v>DOCPLAN-11</x:v>
      </x:c>
      <x:c r="B16" s="23" t="str">
        <x:v>Calendar and Work Schedule</x:v>
      </x:c>
      <x:c r="C16" s="23" t="str">
        <x:v>Calendar/Schedule Admin</x:v>
      </x:c>
      <x:c r="D16" s="23" t="str">
        <x:v>Administrator guide</x:v>
      </x:c>
      <x:c r="E16" s="23" t="str">
        <x:v>Company/Branch calendar; versions; events/imports; review/publish; Shifts; roster generation/override; lock and downstream impact</x:v>
      </x:c>
      <x:c r="F16" s="23" t="str">
        <x:v>Implemented / verification needed</x:v>
      </x:c>
      <x:c r="G16" s="23" t="str">
        <x:v>CAL-001–CAL-003, SCH-001–SCH-002</x:v>
      </x:c>
      <x:c r="H16" s="23" t="str">
        <x:v>Backlog</x:v>
      </x:c>
      <x:c r="I16" s="29" t="str">
        <x:v>HR Owner</x:v>
      </x:c>
      <x:c r="J16" s="23" t="str">
        <x:v>Timezone and materialization evidence</x:v>
      </x:c>
    </x:row>
    <x:row r="17">
      <x:c r="A17" s="23" t="str">
        <x:v>DOCPLAN-12</x:v>
      </x:c>
      <x:c r="B17" s="23" t="str">
        <x:v>Attendance</x:v>
      </x:c>
      <x:c r="C17" s="23" t="str">
        <x:v>Employee, Manager, HR, Payroll</x:v>
      </x:c>
      <x:c r="D17" s="23" t="str">
        <x:v>Workflow guide</x:v>
      </x:c>
      <x:c r="E17" s="23" t="str">
        <x:v>Check-in/out; daily view; exception; regularization; correction; period review/lock/close/reopen; Branch date and night shifts</x:v>
      </x:c>
      <x:c r="F17" s="23" t="str">
        <x:v>Implemented / improvement needed</x:v>
      </x:c>
      <x:c r="G17" s="23" t="str">
        <x:v>ATT-001–ATT-005</x:v>
      </x:c>
      <x:c r="H17" s="23" t="str">
        <x:v>Backlog</x:v>
      </x:c>
      <x:c r="I17" s="29" t="str">
        <x:v>HR and Payroll</x:v>
      </x:c>
      <x:c r="J17" s="23" t="str">
        <x:v>Scale/timezone UAT</x:v>
      </x:c>
    </x:row>
    <x:row r="18">
      <x:c r="A18" s="23" t="str">
        <x:v>DOCPLAN-13</x:v>
      </x:c>
      <x:c r="B18" s="23" t="str">
        <x:v>Leave, Overtime and Comp-off</x:v>
      </x:c>
      <x:c r="C18" s="23" t="str">
        <x:v>Employee, Manager, HR, Payroll</x:v>
      </x:c>
      <x:c r="D18" s="23" t="str">
        <x:v>Workflow guide</x:v>
      </x:c>
      <x:c r="E18" s="23" t="str">
        <x:v>Type/policy; balances; preview/Draft/Submit; approvals; calendar impact; overtime settlement; credit ledger/use/expiry/revoke</x:v>
      </x:c>
      <x:c r="F18" s="23" t="str">
        <x:v>Partial</x:v>
      </x:c>
      <x:c r="G18" s="23" t="str">
        <x:v>LEV-001–LEV-005, OVT-001, CO-001</x:v>
      </x:c>
      <x:c r="H18" s="23" t="str">
        <x:v>Backlog</x:v>
      </x:c>
      <x:c r="I18" s="29" t="str">
        <x:v>HR Owner</x:v>
      </x:c>
      <x:c r="J18" s="23" t="str">
        <x:v>Balance and concurrency reconciliation</x:v>
      </x:c>
    </x:row>
    <x:row r="19">
      <x:c r="A19" s="23" t="str">
        <x:v>DOCPLAN-14</x:v>
      </x:c>
      <x:c r="B19" s="23" t="str">
        <x:v>Assets and licences</x:v>
      </x:c>
      <x:c r="C19" s="23" t="str">
        <x:v>Asset Admin, Custodian, Employee, HR</x:v>
      </x:c>
      <x:c r="D19" s="23" t="str">
        <x:v>Menu-plus-role guide</x:v>
      </x:c>
      <x:c r="E19" s="23" t="str">
        <x:v>Setup order; physical versus Licence Pool; grants; assignment/custody; transfer; return/revoke; clearance/waiver; onboarding/separation links</x:v>
      </x:c>
      <x:c r="F19" s="23" t="str">
        <x:v>Partial</x:v>
      </x:c>
      <x:c r="G19" s="23" t="str">
        <x:v>AST-001–AST-007</x:v>
      </x:c>
      <x:c r="H19" s="23" t="str">
        <x:v>Backlog</x:v>
      </x:c>
      <x:c r="I19" s="29" t="str">
        <x:v>Asset Owner</x:v>
      </x:c>
      <x:c r="J19" s="23" t="str">
        <x:v>Custody/capacity/clearance UAT</x:v>
      </x:c>
    </x:row>
    <x:row r="20">
      <x:c r="A20" s="23" t="str">
        <x:v>DOCPLAN-15</x:v>
      </x:c>
      <x:c r="B20" s="23" t="str">
        <x:v>HR Requests</x:v>
      </x:c>
      <x:c r="C20" s="23" t="str">
        <x:v>Employee, Approver, HR</x:v>
      </x:c>
      <x:c r="D20" s="23" t="str">
        <x:v>Workflow guide</x:v>
      </x:c>
      <x:c r="E20" s="23" t="str">
        <x:v>Request Type; full-page request; attachment; named approval stages; fulfilment; cancel/reject/complete reasons; paging and tracking</x:v>
      </x:c>
      <x:c r="F20" s="23" t="str">
        <x:v>Partial</x:v>
      </x:c>
      <x:c r="G20" s="23" t="str">
        <x:v>HRQ-001–HRQ-004</x:v>
      </x:c>
      <x:c r="H20" s="23" t="str">
        <x:v>Backlog</x:v>
      </x:c>
      <x:c r="I20" s="29" t="str">
        <x:v>HR Owner</x:v>
      </x:c>
      <x:c r="J20" s="23" t="str">
        <x:v>Role and provider UAT</x:v>
      </x:c>
    </x:row>
    <x:row r="21">
      <x:c r="A21" s="23" t="str">
        <x:v>DOCPLAN-16</x:v>
      </x:c>
      <x:c r="B21" s="23" t="str">
        <x:v>Employee Separation</x:v>
      </x:c>
      <x:c r="C21" s="23" t="str">
        <x:v>HR, Approvers, Departments, Asset Custodian, Security</x:v>
      </x:c>
      <x:c r="D21" s="23" t="str">
        <x:v>Workflow guide</x:v>
      </x:c>
      <x:c r="E21" s="23" t="str">
        <x:v>Initiation wizard; approvals; Department and Asset clearance; waiver/reopen; final impact; deactivation/session revocation; retained records</x:v>
      </x:c>
      <x:c r="F21" s="23" t="str">
        <x:v>Partial</x:v>
      </x:c>
      <x:c r="G21" s="23" t="str">
        <x:v>SEP-001–SEP-003</x:v>
      </x:c>
      <x:c r="H21" s="23" t="str">
        <x:v>Backlog</x:v>
      </x:c>
      <x:c r="I21" s="29" t="str">
        <x:v>HR and Security</x:v>
      </x:c>
      <x:c r="J21" s="23" t="str">
        <x:v>Integrated clearance UAT</x:v>
      </x:c>
    </x:row>
    <x:row r="22">
      <x:c r="A22" s="23" t="str">
        <x:v>DOCPLAN-17</x:v>
      </x:c>
      <x:c r="B22" s="23" t="str">
        <x:v>Projects</x:v>
      </x:c>
      <x:c r="C22" s="23" t="str">
        <x:v>Project Admin, Manager, Employee</x:v>
      </x:c>
      <x:c r="D22" s="23" t="str">
        <x:v>Menu-plus-role guide</x:v>
      </x:c>
      <x:c r="E22" s="23" t="str">
        <x:v>Internal Project setup; activation; stages/team/tasks; evidence; review; summaries; Client Project/resource boundaries</x:v>
      </x:c>
      <x:c r="F22" s="23" t="str">
        <x:v>Internal implemented; other scope partial/deferred</x:v>
      </x:c>
      <x:c r="G22" s="23" t="str">
        <x:v>PRJ-001–PRJ-007</x:v>
      </x:c>
      <x:c r="H22" s="23" t="str">
        <x:v>Backlog</x:v>
      </x:c>
      <x:c r="I22" s="29" t="str">
        <x:v>Project Owner</x:v>
      </x:c>
      <x:c r="J22" s="23" t="str">
        <x:v>Project persona UAT</x:v>
      </x:c>
    </x:row>
    <x:row r="23">
      <x:c r="A23" s="23" t="str">
        <x:v>DOCPLAN-18</x:v>
      </x:c>
      <x:c r="B23" s="23" t="str">
        <x:v>Timesheets</x:v>
      </x:c>
      <x:c r="C23" s="23" t="str">
        <x:v>Employee and Manager</x:v>
      </x:c>
      <x:c r="D23" s="23" t="str">
        <x:v>Workflow guide</x:v>
      </x:c>
      <x:c r="E23" s="23" t="str">
        <x:v>Weekly page; lines/targets/limits; Draft/Submit; return/revise/approve; immutable hours and Project summary</x:v>
      </x:c>
      <x:c r="F23" s="23" t="str">
        <x:v>Implemented / improvement needed</x:v>
      </x:c>
      <x:c r="G23" s="23" t="str">
        <x:v>TSH-001–TSH-005</x:v>
      </x:c>
      <x:c r="H23" s="23" t="str">
        <x:v>Backlog</x:v>
      </x:c>
      <x:c r="I23" s="29" t="str">
        <x:v>Project Owner</x:v>
      </x:c>
      <x:c r="J23" s="23" t="str">
        <x:v>Employee/Manager UAT</x:v>
      </x:c>
    </x:row>
    <x:row r="24">
      <x:c r="A24" s="23" t="str">
        <x:v>DOCPLAN-19</x:v>
      </x:c>
      <x:c r="B24" s="23" t="str">
        <x:v>Office Finance Lite</x:v>
      </x:c>
      <x:c r="C24" s="23" t="str">
        <x:v>Finance Setup, Maker, Approver, Reader</x:v>
      </x:c>
      <x:c r="D24" s="23" t="str">
        <x:v>Workflow and limitations guide</x:v>
      </x:c>
      <x:c r="E24" s="23" t="str">
        <x:v>Readiness setup; transaction types; maker-checker; private receipt; immutability/reversal; period lock; reports; Lite boundary</x:v>
      </x:c>
      <x:c r="F24" s="23" t="str">
        <x:v>Implemented / provider evidence needed</x:v>
      </x:c>
      <x:c r="G24" s="23" t="str">
        <x:v>FIN-001–FIN-005</x:v>
      </x:c>
      <x:c r="H24" s="23" t="str">
        <x:v>Backlog</x:v>
      </x:c>
      <x:c r="I24" s="29" t="str">
        <x:v>Finance Owner</x:v>
      </x:c>
      <x:c r="J24" s="23" t="str">
        <x:v>Finance UAT and reconciliation</x:v>
      </x:c>
    </x:row>
    <x:row r="25">
      <x:c r="A25" s="23" t="str">
        <x:v>DOCPLAN-20</x:v>
      </x:c>
      <x:c r="B25" s="23" t="str">
        <x:v>Payroll and Payslips</x:v>
      </x:c>
      <x:c r="C25" s="23" t="str">
        <x:v>Payroll roles and Employee</x:v>
      </x:c>
      <x:c r="D25" s="23" t="str">
        <x:v>Workflow guide</x:v>
      </x:c>
      <x:c r="E25" s="23" t="str">
        <x:v>Setup; readiness; Draft/Calculate/Approve/Paid; Finance integration; Payslip worker/retry; Employee download; privacy</x:v>
      </x:c>
      <x:c r="F25" s="23" t="str">
        <x:v>Implemented / final regression needed</x:v>
      </x:c>
      <x:c r="G25" s="23" t="str">
        <x:v>PAY-001–PAY-008</x:v>
      </x:c>
      <x:c r="H25" s="23" t="str">
        <x:v>Backlog</x:v>
      </x:c>
      <x:c r="I25" s="29" t="str">
        <x:v>Payroll Owner</x:v>
      </x:c>
      <x:c r="J25" s="23" t="str">
        <x:v>Maker/approver/Employee UAT</x:v>
      </x:c>
    </x:row>
    <x:row r="26">
      <x:c r="A26" s="23" t="str">
        <x:v>DOCPLAN-21</x:v>
      </x:c>
      <x:c r="B26" s="23" t="str">
        <x:v>Delivery, Files and Retention</x:v>
      </x:c>
      <x:c r="C26" s="23" t="str">
        <x:v>Platform Operators and Security</x:v>
      </x:c>
      <x:c r="D26" s="23" t="str">
        <x:v>Operations runbook</x:v>
      </x:c>
      <x:c r="E26" s="23" t="str">
        <x:v>Pilot/dry-run; provider statuses; retry/dead letter/suppression; file exception reconciliation; retention Draft/approval/dry-run; monitoring/rollback</x:v>
      </x:c>
      <x:c r="F26" s="23" t="str">
        <x:v>Partial / provider-dependent</x:v>
      </x:c>
      <x:c r="G26" s="23" t="str">
        <x:v>DEL-001–DEL-003, FILE-001, RET-001</x:v>
      </x:c>
      <x:c r="H26" s="23" t="str">
        <x:v>Backlog</x:v>
      </x:c>
      <x:c r="I26" s="29" t="str">
        <x:v>Operations</x:v>
      </x:c>
      <x:c r="J26" s="23" t="str">
        <x:v>Provider and operator UAT</x:v>
      </x:c>
    </x:row>
    <x:row r="27">
      <x:c r="A27" s="23" t="str">
        <x:v>DOCPLAN-22</x:v>
      </x:c>
      <x:c r="B27" s="23" t="str">
        <x:v>Production configuration</x:v>
      </x:c>
      <x:c r="C27" s="23" t="str">
        <x:v>Infrastructure, Security, Release Owner</x:v>
      </x:c>
      <x:c r="D27" s="23" t="str">
        <x:v>Environment reference</x:v>
      </x:c>
      <x:c r="E27" s="23" t="str">
        <x:v>Flags; empty versus restricted allowlists; dependencies; secret locations; workers; providers; readiness; production mutation boundary</x:v>
      </x:c>
      <x:c r="F27" s="23" t="str">
        <x:v>Proposed</x:v>
      </x:c>
      <x:c r="G27" s="23" t="str">
        <x:v>W0-01–W0-11, ENV-001–ENV-002</x:v>
      </x:c>
      <x:c r="H27" s="23" t="str">
        <x:v>Backlog</x:v>
      </x:c>
      <x:c r="I27" s="29" t="str">
        <x:v>Release Owner</x:v>
      </x:c>
      <x:c r="J27" s="23" t="str">
        <x:v>Masked configuration review</x:v>
      </x:c>
    </x:row>
    <x:row r="28">
      <x:c r="A28" s="24" t="str">
        <x:v>DOCPLAN-23</x:v>
      </x:c>
      <x:c r="B28" s="24" t="str">
        <x:v>Release evidence</x:v>
      </x:c>
      <x:c r="C28" s="24" t="str">
        <x:v>Signers and auditors</x:v>
      </x:c>
      <x:c r="D28" s="24" t="str">
        <x:v>Release record</x:v>
      </x:c>
      <x:c r="E28" s="24" t="str">
        <x:v>Exact SHA; migrations; commands; personas; providers; defects/retests; performance/accessibility; rollback; named approvals and decision</x:v>
      </x:c>
      <x:c r="F28" s="24" t="str">
        <x:v>Not Run</x:v>
      </x:c>
      <x:c r="G28" s="24" t="str">
        <x:v>QA-001–QA-003, DEF-001, SIGN-001</x:v>
      </x:c>
      <x:c r="H28" s="24" t="str">
        <x:v>Backlog</x:v>
      </x:c>
      <x:c r="I28" s="30" t="str">
        <x:v>Release Owner</x:v>
      </x:c>
      <x:c r="J28" s="24" t="str">
        <x:v>Final evidence index</x:v>
      </x:c>
    </x:row>
  </x:sheetData>
  <x:dataValidations count="1">
    <x:dataValidation type="list" sqref="H6:H28">
      <x:formula1>"Backlog,In Progress,Ready for Review,Reviewed,Not Applicable"</x:formula1>
    </x:dataValidation>
  </x:dataValidations>
  <x:pageMargins left="0.7" right="0.7" top="0.75" bottom="0.75" header="0.3" footer="0.3"/>
  <x:tableParts count="1">
    <x:tablePart xmlns:r="http://schemas.openxmlformats.org/officeDocument/2006/relationships" r:id="R485b03d1a6404a07"/>
  </x:tableParts>
</x:worksheet>
</file>

<file path=xl/worksheets/sheet7.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3" hidden="0" customWidth="1"/>
    <x:col min="2" max="2" width="19" hidden="0" customWidth="1"/>
    <x:col min="3" max="3" width="34" hidden="0" customWidth="1"/>
    <x:col min="4" max="4" width="62" hidden="0" customWidth="1"/>
    <x:col min="5" max="5" width="38" hidden="0" customWidth="1"/>
    <x:col min="6" max="6" width="24" hidden="0" customWidth="1"/>
    <x:col min="7" max="7" width="15" hidden="0" customWidth="1"/>
    <x:col min="8" max="8" width="18" hidden="0" customWidth="1"/>
  </x:cols>
  <x:sheetData>
    <x:row r="1">
      <x:c r="A1" s="1" t="str">
        <x:v>Release gates</x:v>
      </x:c>
      <x:c r="B1" s="1"/>
      <x:c r="C1" s="1"/>
      <x:c r="D1" s="1"/>
      <x:c r="E1" s="1"/>
      <x:c r="F1" s="1"/>
      <x:c r="G1" s="1"/>
      <x:c r="H1" s="1"/>
    </x:row>
    <x:row r="2">
      <x:c r="A2" s="2" t="str">
        <x:v>Production GO requirements for one frozen SHA and approved release controls</x:v>
      </x:c>
      <x:c r="B2" s="2"/>
      <x:c r="C2" s="2"/>
      <x:c r="D2" s="2"/>
      <x:c r="E2" s="2"/>
      <x:c r="F2" s="2"/>
      <x:c r="G2" s="2"/>
      <x:c r="H2" s="2"/>
    </x:row>
    <x:row r="3">
      <x:c r="A3" s="3" t="str">
        <x:v>Current decision remains NO-GO until every blocking gate passes or receives an explicit accepted disposition.</x:v>
      </x:c>
      <x:c r="B3" s="3"/>
      <x:c r="C3" s="3"/>
      <x:c r="D3" s="3"/>
      <x:c r="E3" s="3"/>
      <x:c r="F3" s="3"/>
      <x:c r="G3" s="3"/>
      <x:c r="H3" s="3"/>
    </x:row>
    <x:row r="4" ht="4" customHeight="1">
      <x:c r="A4" s="4"/>
      <x:c r="B4" s="4"/>
      <x:c r="C4" s="4"/>
      <x:c r="D4" s="4"/>
      <x:c r="E4" s="4"/>
      <x:c r="F4" s="4"/>
      <x:c r="G4" s="4"/>
      <x:c r="H4" s="4"/>
    </x:row>
    <x:row r="5" ht="36" customHeight="1">
      <x:c r="A5" s="16" t="str">
        <x:v>Gate ID</x:v>
      </x:c>
      <x:c r="B5" s="17" t="str">
        <x:v>Area</x:v>
      </x:c>
      <x:c r="C5" s="17" t="str">
        <x:v>Gate</x:v>
      </x:c>
      <x:c r="D5" s="17" t="str">
        <x:v>Requirement</x:v>
      </x:c>
      <x:c r="E5" s="17" t="str">
        <x:v>Evidence</x:v>
      </x:c>
      <x:c r="F5" s="17" t="str">
        <x:v>Owner</x:v>
      </x:c>
      <x:c r="G5" s="17" t="str">
        <x:v>Status</x:v>
      </x:c>
      <x:c r="H5" s="18" t="str">
        <x:v>Blocks production</x:v>
      </x:c>
    </x:row>
    <x:row r="6">
      <x:c r="A6" s="22" t="str">
        <x:v>GATE-01</x:v>
      </x:c>
      <x:c r="B6" s="22" t="str">
        <x:v>Identity</x:v>
      </x:c>
      <x:c r="C6" s="22" t="str">
        <x:v>One frozen release SHA</x:v>
      </x:c>
      <x:c r="D6" s="22" t="str">
        <x:v>Frontend, API and workers come from one full Git SHA</x:v>
      </x:c>
      <x:c r="E6" s="22" t="str">
        <x:v>Deployment metadata</x:v>
      </x:c>
      <x:c r="F6" s="28" t="str">
        <x:v>Technical Owner</x:v>
      </x:c>
      <x:c r="G6" s="22" t="str">
        <x:v>Not Run</x:v>
      </x:c>
      <x:c r="H6" s="22" t="str">
        <x:v>Yes</x:v>
      </x:c>
    </x:row>
    <x:row r="7">
      <x:c r="A7" s="23" t="str">
        <x:v>GATE-02</x:v>
      </x:c>
      <x:c r="B7" s="23" t="str">
        <x:v>Environment</x:v>
      </x:c>
      <x:c r="C7" s="23" t="str">
        <x:v>Guarded staging-schema topology</x:v>
      </x:c>
      <x:c r="D7" s="23" t="str">
        <x:v>Shared dsp_erp_dev database; QA writers only to dsp_pms_stg; dsp_pms is refused; synthetic primary and isolation tenants only</x:v>
      </x:c>
      <x:c r="E7" s="23" t="str">
        <x:v>Sentinel/token/fingerprint and reviewed topology evidence</x:v>
      </x:c>
      <x:c r="F7" s="29" t="str">
        <x:v>Infrastructure</x:v>
      </x:c>
      <x:c r="G7" s="23" t="str">
        <x:v>Passed</x:v>
      </x:c>
      <x:c r="H7" s="23" t="str">
        <x:v>Yes</x:v>
      </x:c>
    </x:row>
    <x:row r="8">
      <x:c r="A8" s="23" t="str">
        <x:v>GATE-03</x:v>
      </x:c>
      <x:c r="B8" s="23" t="str">
        <x:v>Database</x:v>
      </x:c>
      <x:c r="C8" s="23" t="str">
        <x:v>Zero unexplained migration drift</x:v>
      </x:c>
      <x:c r="D8" s="23" t="str">
        <x:v>From-zero and upgrade rehearsals pass; target ledger reconciles</x:v>
      </x:c>
      <x:c r="E8" s="23" t="str">
        <x:v>Migration/catalog report</x:v>
      </x:c>
      <x:c r="F8" s="29" t="str">
        <x:v>DBA</x:v>
      </x:c>
      <x:c r="G8" s="23" t="str">
        <x:v>Not Run</x:v>
      </x:c>
      <x:c r="H8" s="23" t="str">
        <x:v>Yes</x:v>
      </x:c>
    </x:row>
    <x:row r="9">
      <x:c r="A9" s="23" t="str">
        <x:v>GATE-04</x:v>
      </x:c>
      <x:c r="B9" s="23" t="str">
        <x:v>Recovery</x:v>
      </x:c>
      <x:c r="C9" s="23" t="str">
        <x:v>Backup and restore</x:v>
      </x:c>
      <x:c r="D9" s="23" t="str">
        <x:v>Production-like backup restores and reconciles</x:v>
      </x:c>
      <x:c r="E9" s="23" t="str">
        <x:v>Restore evidence</x:v>
      </x:c>
      <x:c r="F9" s="29" t="str">
        <x:v>DBA</x:v>
      </x:c>
      <x:c r="G9" s="23" t="str">
        <x:v>Not Run</x:v>
      </x:c>
      <x:c r="H9" s="23" t="str">
        <x:v>Yes</x:v>
      </x:c>
    </x:row>
    <x:row r="10">
      <x:c r="A10" s="23" t="str">
        <x:v>GATE-05</x:v>
      </x:c>
      <x:c r="B10" s="23" t="str">
        <x:v>Feature scope</x:v>
      </x:c>
      <x:c r="C10" s="23" t="str">
        <x:v>Company module entitlements</x:v>
      </x:c>
      <x:c r="D10" s="23" t="str">
        <x:v>Every Company receives the canonical module baseline; permissions and provider readiness control use</x:v>
      </x:c>
      <x:c r="E10" s="23" t="str">
        <x:v>Company entitlement and capability matrix</x:v>
      </x:c>
      <x:c r="F10" s="29" t="str">
        <x:v>Security</x:v>
      </x:c>
      <x:c r="G10" s="23" t="str">
        <x:v>Not Run</x:v>
      </x:c>
      <x:c r="H10" s="23" t="str">
        <x:v>Yes</x:v>
      </x:c>
    </x:row>
    <x:row r="11">
      <x:c r="A11" s="23" t="str">
        <x:v>GATE-06</x:v>
      </x:c>
      <x:c r="B11" s="23" t="str">
        <x:v>Delivery</x:v>
      </x:c>
      <x:c r="C11" s="23" t="str">
        <x:v>Canonical Delivery readiness</x:v>
      </x:c>
      <x:c r="D11" s="23" t="str">
        <x:v>Delivery is Company-entitled by default; provider credentials, retries and recovery must pass before live sending</x:v>
      </x:c>
      <x:c r="E11" s="23" t="str">
        <x:v>Provider claim, retry and recovery evidence</x:v>
      </x:c>
      <x:c r="F11" s="29" t="str">
        <x:v>Delivery Owner</x:v>
      </x:c>
      <x:c r="G11" s="23" t="str">
        <x:v>Not Run</x:v>
      </x:c>
      <x:c r="H11" s="23" t="str">
        <x:v>Yes</x:v>
      </x:c>
    </x:row>
    <x:row r="12">
      <x:c r="A12" s="23" t="str">
        <x:v>GATE-07</x:v>
      </x:c>
      <x:c r="B12" s="23" t="str">
        <x:v>Recent change</x:v>
      </x:c>
      <x:c r="C12" s="23" t="str">
        <x:v>Designation authorization</x:v>
      </x:c>
      <x:c r="D12" s="23" t="str">
        <x:v>Button, route and both backend commands share the approved permission contract</x:v>
      </x:c>
      <x:c r="E12" s="23" t="str">
        <x:v>Persona matrix</x:v>
      </x:c>
      <x:c r="F12" s="29" t="str">
        <x:v>Security</x:v>
      </x:c>
      <x:c r="G12" s="23" t="str">
        <x:v>Not Run</x:v>
      </x:c>
      <x:c r="H12" s="23" t="str">
        <x:v>Yes</x:v>
      </x:c>
    </x:row>
    <x:row r="13">
      <x:c r="A13" s="23" t="str">
        <x:v>GATE-08</x:v>
      </x:c>
      <x:c r="B13" s="23" t="str">
        <x:v>Recent change</x:v>
      </x:c>
      <x:c r="C13" s="23" t="str">
        <x:v>Designation atomicity and scope</x:v>
      </x:c>
      <x:c r="D13" s="23" t="str">
        <x:v>No hidden partial state; feature, tenant and Branch gates pass</x:v>
      </x:c>
      <x:c r="E13" s="23" t="str">
        <x:v>Transaction and browser evidence</x:v>
      </x:c>
      <x:c r="F13" s="29" t="str">
        <x:v>HR Owner</x:v>
      </x:c>
      <x:c r="G13" s="23" t="str">
        <x:v>Not Run</x:v>
      </x:c>
      <x:c r="H13" s="23" t="str">
        <x:v>Yes</x:v>
      </x:c>
    </x:row>
    <x:row r="14">
      <x:c r="A14" s="23" t="str">
        <x:v>GATE-09</x:v>
      </x:c>
      <x:c r="B14" s="23" t="str">
        <x:v>Recent change</x:v>
      </x:c>
      <x:c r="C14" s="23" t="str">
        <x:v>Global reminder scale</x:v>
      </x:c>
      <x:c r="D14" s="23" t="str">
        <x:v>All eligible rows beyond 200 process fairly and idempotently</x:v>
      </x:c>
      <x:c r="E14" s="23" t="str">
        <x:v>Worker load evidence</x:v>
      </x:c>
      <x:c r="F14" s="29" t="str">
        <x:v>Operations</x:v>
      </x:c>
      <x:c r="G14" s="23" t="str">
        <x:v>Not Run</x:v>
      </x:c>
      <x:c r="H14" s="23" t="str">
        <x:v>Yes</x:v>
      </x:c>
    </x:row>
    <x:row r="15">
      <x:c r="A15" s="23" t="str">
        <x:v>GATE-10</x:v>
      </x:c>
      <x:c r="B15" s="23" t="str">
        <x:v>Engineering</x:v>
      </x:c>
      <x:c r="C15" s="23" t="str">
        <x:v>Type, lint, unit and production builds</x:v>
      </x:c>
      <x:c r="D15" s="23" t="str">
        <x:v>All required commands pass on the frozen SHA; skips/warnings recorded</x:v>
      </x:c>
      <x:c r="E15" s="23" t="str">
        <x:v>Command logs</x:v>
      </x:c>
      <x:c r="F15" s="29" t="str">
        <x:v>Technical Owner</x:v>
      </x:c>
      <x:c r="G15" s="23" t="str">
        <x:v>Not Run</x:v>
      </x:c>
      <x:c r="H15" s="23" t="str">
        <x:v>Yes</x:v>
      </x:c>
    </x:row>
    <x:row r="16">
      <x:c r="A16" s="23" t="str">
        <x:v>GATE-11</x:v>
      </x:c>
      <x:c r="B16" s="23" t="str">
        <x:v>Files</x:v>
      </x:c>
      <x:c r="C16" s="23" t="str">
        <x:v>Private storage</x:v>
      </x:c>
      <x:c r="D16" s="23" t="str">
        <x:v>Least-privilege S3-compatible upload/download/compensation passes</x:v>
      </x:c>
      <x:c r="E16" s="23" t="str">
        <x:v>Provider receipts and DB reconciliation</x:v>
      </x:c>
      <x:c r="F16" s="29" t="str">
        <x:v>File Operations</x:v>
      </x:c>
      <x:c r="G16" s="23" t="str">
        <x:v>Not Run</x:v>
      </x:c>
      <x:c r="H16" s="23" t="str">
        <x:v>Yes</x:v>
      </x:c>
    </x:row>
    <x:row r="17">
      <x:c r="A17" s="23" t="str">
        <x:v>GATE-12</x:v>
      </x:c>
      <x:c r="B17" s="23" t="str">
        <x:v>Files</x:v>
      </x:c>
      <x:c r="C17" s="23" t="str">
        <x:v>Real malware scanning</x:v>
      </x:c>
      <x:c r="D17" s="23" t="str">
        <x:v>Clean, infected, outage, retry and recovery pass</x:v>
      </x:c>
      <x:c r="E17" s="23" t="str">
        <x:v>Scanner and browser evidence</x:v>
      </x:c>
      <x:c r="F17" s="29" t="str">
        <x:v>Security</x:v>
      </x:c>
      <x:c r="G17" s="23" t="str">
        <x:v>Not Run</x:v>
      </x:c>
      <x:c r="H17" s="23" t="str">
        <x:v>Yes</x:v>
      </x:c>
    </x:row>
    <x:row r="18">
      <x:c r="A18" s="23" t="str">
        <x:v>GATE-13</x:v>
      </x:c>
      <x:c r="B18" s="23" t="str">
        <x:v>Recruitment</x:v>
      </x:c>
      <x:c r="C18" s="23" t="str">
        <x:v>Provider-backed public and offer flow</x:v>
      </x:c>
      <x:c r="D18" s="23" t="str">
        <x:v>Application, email, signature and conversion pass without bypasses</x:v>
      </x:c>
      <x:c r="E18" s="23" t="str">
        <x:v>Candidate/HR/provider evidence</x:v>
      </x:c>
      <x:c r="F18" s="29" t="str">
        <x:v>Recruitment Owner</x:v>
      </x:c>
      <x:c r="G18" s="23" t="str">
        <x:v>Not Run</x:v>
      </x:c>
      <x:c r="H18" s="23" t="str">
        <x:v>Yes</x:v>
      </x:c>
    </x:row>
    <x:row r="19">
      <x:c r="A19" s="23" t="str">
        <x:v>GATE-14</x:v>
      </x:c>
      <x:c r="B19" s="23" t="str">
        <x:v>Onboarding</x:v>
      </x:c>
      <x:c r="C19" s="23" t="str">
        <x:v>Template and runtime personas</x:v>
      </x:c>
      <x:c r="D19" s="23" t="str">
        <x:v>Authoring, start, Department/Employee/Asset work, exceptions and completion pass</x:v>
      </x:c>
      <x:c r="E19" s="23" t="str">
        <x:v>Multi-persona evidence</x:v>
      </x:c>
      <x:c r="F19" s="29" t="str">
        <x:v>HR Owner</x:v>
      </x:c>
      <x:c r="G19" s="23" t="str">
        <x:v>Not Run</x:v>
      </x:c>
      <x:c r="H19" s="23" t="str">
        <x:v>Yes</x:v>
      </x:c>
    </x:row>
    <x:row r="20">
      <x:c r="A20" s="23" t="str">
        <x:v>GATE-15</x:v>
      </x:c>
      <x:c r="B20" s="23" t="str">
        <x:v>Workforce</x:v>
      </x:c>
      <x:c r="C20" s="23" t="str">
        <x:v>Calendar through closed Attendance</x:v>
      </x:c>
      <x:c r="D20" s="23" t="str">
        <x:v>Timezone, schedule, exception, leave/overtime and period reconciliation pass</x:v>
      </x:c>
      <x:c r="E20" s="23" t="str">
        <x:v>Browser/API/DB evidence</x:v>
      </x:c>
      <x:c r="F20" s="29" t="str">
        <x:v>HR and Payroll</x:v>
      </x:c>
      <x:c r="G20" s="23" t="str">
        <x:v>Not Run</x:v>
      </x:c>
      <x:c r="H20" s="23" t="str">
        <x:v>Yes</x:v>
      </x:c>
    </x:row>
    <x:row r="21">
      <x:c r="A21" s="23" t="str">
        <x:v>GATE-16</x:v>
      </x:c>
      <x:c r="B21" s="23" t="str">
        <x:v>Assets</x:v>
      </x:c>
      <x:c r="C21" s="23" t="str">
        <x:v>Custody and clearance</x:v>
      </x:c>
      <x:c r="D21" s="23" t="str">
        <x:v>Physical, Licence, transfer and separation clearance reconcile</x:v>
      </x:c>
      <x:c r="E21" s="23" t="str">
        <x:v>Asset/HR evidence</x:v>
      </x:c>
      <x:c r="F21" s="29" t="str">
        <x:v>Asset Owner</x:v>
      </x:c>
      <x:c r="G21" s="23" t="str">
        <x:v>Not Run</x:v>
      </x:c>
      <x:c r="H21" s="23" t="str">
        <x:v>Yes</x:v>
      </x:c>
    </x:row>
    <x:row r="22">
      <x:c r="A22" s="23" t="str">
        <x:v>GATE-17</x:v>
      </x:c>
      <x:c r="B22" s="23" t="str">
        <x:v>Projects</x:v>
      </x:c>
      <x:c r="C22" s="23" t="str">
        <x:v>Internal Project and Timesheet</x:v>
      </x:c>
      <x:c r="D22" s="23" t="str">
        <x:v>Task/evidence, weekly time and manager approval pass</x:v>
      </x:c>
      <x:c r="E22" s="23" t="str">
        <x:v>Project personas and reconciliation</x:v>
      </x:c>
      <x:c r="F22" s="29" t="str">
        <x:v>Project Owner</x:v>
      </x:c>
      <x:c r="G22" s="23" t="str">
        <x:v>Not Run</x:v>
      </x:c>
      <x:c r="H22" s="23" t="str">
        <x:v>Yes</x:v>
      </x:c>
    </x:row>
    <x:row r="23">
      <x:c r="A23" s="23" t="str">
        <x:v>GATE-18</x:v>
      </x:c>
      <x:c r="B23" s="23" t="str">
        <x:v>Finance</x:v>
      </x:c>
      <x:c r="C23" s="23" t="str">
        <x:v>Maker-checker and reversal</x:v>
      </x:c>
      <x:c r="D23" s="23" t="str">
        <x:v>Separate approval, private receipt, immutable approval, reversal and reports pass</x:v>
      </x:c>
      <x:c r="E23" s="23" t="str">
        <x:v>Finance evidence</x:v>
      </x:c>
      <x:c r="F23" s="29" t="str">
        <x:v>Finance Owner</x:v>
      </x:c>
      <x:c r="G23" s="23" t="str">
        <x:v>Not Run</x:v>
      </x:c>
      <x:c r="H23" s="23" t="str">
        <x:v>Yes</x:v>
      </x:c>
    </x:row>
    <x:row r="24">
      <x:c r="A24" s="23" t="str">
        <x:v>GATE-19</x:v>
      </x:c>
      <x:c r="B24" s="23" t="str">
        <x:v>Payroll</x:v>
      </x:c>
      <x:c r="C24" s="23" t="str">
        <x:v>Approved to Paid and Payslip</x:v>
      </x:c>
      <x:c r="D24" s="23" t="str">
        <x:v>Independent approval, one Finance expense, worker recovery and Employee access pass</x:v>
      </x:c>
      <x:c r="E24" s="23" t="str">
        <x:v>Payroll/Finance/file evidence</x:v>
      </x:c>
      <x:c r="F24" s="29" t="str">
        <x:v>Payroll Owner</x:v>
      </x:c>
      <x:c r="G24" s="23" t="str">
        <x:v>Not Run</x:v>
      </x:c>
      <x:c r="H24" s="23" t="str">
        <x:v>Yes</x:v>
      </x:c>
    </x:row>
    <x:row r="25">
      <x:c r="A25" s="23" t="str">
        <x:v>GATE-20</x:v>
      </x:c>
      <x:c r="B25" s="23" t="str">
        <x:v>Security</x:v>
      </x:c>
      <x:c r="C25" s="23" t="str">
        <x:v>Tenant and direct-ID isolation</x:v>
      </x:c>
      <x:c r="D25" s="23" t="str">
        <x:v>Tenant B and unauthorized personas cannot read or mutate Tenant A data</x:v>
      </x:c>
      <x:c r="E25" s="23" t="str">
        <x:v>Network/API/DB denial evidence</x:v>
      </x:c>
      <x:c r="F25" s="29" t="str">
        <x:v>Security</x:v>
      </x:c>
      <x:c r="G25" s="23" t="str">
        <x:v>Not Run</x:v>
      </x:c>
      <x:c r="H25" s="23" t="str">
        <x:v>Yes</x:v>
      </x:c>
    </x:row>
    <x:row r="26">
      <x:c r="A26" s="23" t="str">
        <x:v>GATE-21</x:v>
      </x:c>
      <x:c r="B26" s="23" t="str">
        <x:v>Concurrency</x:v>
      </x:c>
      <x:c r="C26" s="23" t="str">
        <x:v>Idempotency and stale-state handling</x:v>
      </x:c>
      <x:c r="D26" s="23" t="str">
        <x:v>Critical commands produce one deterministic outcome and preserve recoverable input</x:v>
      </x:c>
      <x:c r="E26" s="23" t="str">
        <x:v>Concurrency report</x:v>
      </x:c>
      <x:c r="F26" s="29" t="str">
        <x:v>Technical Owner</x:v>
      </x:c>
      <x:c r="G26" s="23" t="str">
        <x:v>Not Run</x:v>
      </x:c>
      <x:c r="H26" s="23" t="str">
        <x:v>Yes</x:v>
      </x:c>
    </x:row>
    <x:row r="27">
      <x:c r="A27" s="23" t="str">
        <x:v>GATE-22</x:v>
      </x:c>
      <x:c r="B27" s="23" t="str">
        <x:v>UX</x:v>
      </x:c>
      <x:c r="C27" s="23" t="str">
        <x:v>Responsive and accessibility</x:v>
      </x:c>
      <x:c r="D27" s="23" t="str">
        <x:v>Representative module flows pass desktop, tablet/mobile, keyboard and 200% zoom</x:v>
      </x:c>
      <x:c r="E27" s="23" t="str">
        <x:v>Accessibility evidence</x:v>
      </x:c>
      <x:c r="F27" s="29" t="str">
        <x:v>UX Owner</x:v>
      </x:c>
      <x:c r="G27" s="23" t="str">
        <x:v>Not Run</x:v>
      </x:c>
      <x:c r="H27" s="23" t="str">
        <x:v>Yes</x:v>
      </x:c>
    </x:row>
    <x:row r="28">
      <x:c r="A28" s="23" t="str">
        <x:v>GATE-23</x:v>
      </x:c>
      <x:c r="B28" s="23" t="str">
        <x:v>Performance</x:v>
      </x:c>
      <x:c r="C28" s="23" t="str">
        <x:v>Production-like volume</x:v>
      </x:c>
      <x:c r="D28" s="23" t="str">
        <x:v>Lists, pages and workers meet approved response/completion thresholds without truncation/starvation</x:v>
      </x:c>
      <x:c r="E28" s="23" t="str">
        <x:v>Performance report</x:v>
      </x:c>
      <x:c r="F28" s="29" t="str">
        <x:v>Performance Owner</x:v>
      </x:c>
      <x:c r="G28" s="23" t="str">
        <x:v>Not Run</x:v>
      </x:c>
      <x:c r="H28" s="23" t="str">
        <x:v>Yes</x:v>
      </x:c>
    </x:row>
    <x:row r="29">
      <x:c r="A29" s="23" t="str">
        <x:v>GATE-24</x:v>
      </x:c>
      <x:c r="B29" s="23" t="str">
        <x:v>Operations</x:v>
      </x:c>
      <x:c r="C29" s="23" t="str">
        <x:v>Monitoring and alerts</x:v>
      </x:c>
      <x:c r="D29" s="23" t="str">
        <x:v>Provider/worker/business failures alert with redacted and actionable context</x:v>
      </x:c>
      <x:c r="E29" s="23" t="str">
        <x:v>Synthetic alert evidence</x:v>
      </x:c>
      <x:c r="F29" s="29" t="str">
        <x:v>Operations</x:v>
      </x:c>
      <x:c r="G29" s="23" t="str">
        <x:v>Not Run</x:v>
      </x:c>
      <x:c r="H29" s="23" t="str">
        <x:v>Yes</x:v>
      </x:c>
    </x:row>
    <x:row r="30">
      <x:c r="A30" s="23" t="str">
        <x:v>GATE-25</x:v>
      </x:c>
      <x:c r="B30" s="23" t="str">
        <x:v>Defects</x:v>
      </x:c>
      <x:c r="C30" s="23" t="str">
        <x:v>No unresolved P0/P1</x:v>
      </x:c>
      <x:c r="D30" s="23" t="str">
        <x:v>P2 findings are fixed or formally accepted; all closures retested on final SHA</x:v>
      </x:c>
      <x:c r="E30" s="23" t="str">
        <x:v>Defect and Retest sheet</x:v>
      </x:c>
      <x:c r="F30" s="29" t="str">
        <x:v>QA Lead</x:v>
      </x:c>
      <x:c r="G30" s="23" t="str">
        <x:v>Not Run</x:v>
      </x:c>
      <x:c r="H30" s="23" t="str">
        <x:v>Yes</x:v>
      </x:c>
    </x:row>
    <x:row r="31">
      <x:c r="A31" s="23" t="str">
        <x:v>GATE-26</x:v>
      </x:c>
      <x:c r="B31" s="23" t="str">
        <x:v>Documentation</x:v>
      </x:c>
      <x:c r="C31" s="23" t="str">
        <x:v>Current module and operations guides</x:v>
      </x:c>
      <x:c r="D31" s="23" t="str">
        <x:v>DSP ERP English menu-plus-role material matches final routes/states and labels limitations</x:v>
      </x:c>
      <x:c r="E31" s="23" t="str">
        <x:v>Documentation review</x:v>
      </x:c>
      <x:c r="F31" s="29" t="str">
        <x:v>Module Owners</x:v>
      </x:c>
      <x:c r="G31" s="23" t="str">
        <x:v>Not Run</x:v>
      </x:c>
      <x:c r="H31" s="23" t="str">
        <x:v>Yes</x:v>
      </x:c>
    </x:row>
    <x:row r="32">
      <x:c r="A32" s="23" t="str">
        <x:v>GATE-27</x:v>
      </x:c>
      <x:c r="B32" s="23" t="str">
        <x:v>Rollback</x:v>
      </x:c>
      <x:c r="C32" s="23" t="str">
        <x:v>Cutover and rollback rehearsal</x:v>
      </x:c>
      <x:c r="D32" s="23" t="str">
        <x:v>Flag-off, worker-stop, code rollback and forward-fix owners/steps are validated</x:v>
      </x:c>
      <x:c r="E32" s="23" t="str">
        <x:v>Rehearsal record</x:v>
      </x:c>
      <x:c r="F32" s="29" t="str">
        <x:v>Release Owner</x:v>
      </x:c>
      <x:c r="G32" s="23" t="str">
        <x:v>Not Run</x:v>
      </x:c>
      <x:c r="H32" s="23" t="str">
        <x:v>Yes</x:v>
      </x:c>
    </x:row>
    <x:row r="33">
      <x:c r="A33" s="24" t="str">
        <x:v>GATE-28</x:v>
      </x:c>
      <x:c r="B33" s="24" t="str">
        <x:v>Approval</x:v>
      </x:c>
      <x:c r="C33" s="24" t="str">
        <x:v>Named production decision</x:v>
      </x:c>
      <x:c r="D33" s="24" t="str">
        <x:v>Technical, Security, Infrastructure, HR, Finance/Payroll, Operations and Business sign the same SHA</x:v>
      </x:c>
      <x:c r="E33" s="24" t="str">
        <x:v>Named approvals</x:v>
      </x:c>
      <x:c r="F33" s="30" t="str">
        <x:v>Product Owner</x:v>
      </x:c>
      <x:c r="G33" s="24" t="str">
        <x:v>Not Run</x:v>
      </x:c>
      <x:c r="H33" s="24" t="str">
        <x:v>Yes</x:v>
      </x:c>
    </x:row>
  </x:sheetData>
  <x:conditionalFormatting sqref="G6:G33">
    <x:cfRule type="containsText" dxfId="13" priority="1" operator="containsText" text="Passed"/>
    <x:cfRule type="containsText" dxfId="14" priority="2" operator="containsText" text="Failed"/>
    <x:cfRule type="containsText" dxfId="15" priority="3" operator="containsText" text="Blocked"/>
  </x:conditionalFormatting>
  <x:dataValidations count="1">
    <x:dataValidation type="list" sqref="G6:G33">
      <x:formula1>"Not Run,In Progress,Passed,Failed,Blocked,Accepted Exception,Not Applicable"</x:formula1>
    </x:dataValidation>
  </x:dataValidations>
  <x:pageMargins left="0.7" right="0.7" top="0.75" bottom="0.75" header="0.3" footer="0.3"/>
  <x:tableParts count="1">
    <x:tablePart xmlns:r="http://schemas.openxmlformats.org/officeDocument/2006/relationships" r:id="R791fee9c9da24291"/>
  </x:tableParts>
</x:worksheet>
</file>

<file path=xl/worksheets/sheet8.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13" hidden="0" customWidth="1"/>
    <x:col min="2" max="2" width="22" hidden="0" customWidth="1"/>
    <x:col min="3" max="3" width="66" hidden="0" customWidth="1"/>
    <x:col min="4" max="4" width="55" hidden="0" customWidth="1"/>
    <x:col min="5" max="5" width="48" hidden="0" customWidth="1"/>
    <x:col min="7" max="7" width="22" hidden="0" customWidth="1"/>
    <x:col min="8" max="8" width="65" hidden="0" customWidth="1"/>
  </x:cols>
  <x:sheetData>
    <x:row r="1">
      <x:c r="A1" s="1" t="str">
        <x:v>Historical baseline — Sources and Controls (2026-09-09; superseded)</x:v>
      </x:c>
      <x:c r="B1" s="1"/>
      <x:c r="C1" s="1"/>
      <x:c r="D1" s="1"/>
      <x:c r="E1" s="1"/>
      <x:c r="F1" s="1"/>
      <x:c r="G1" s="1"/>
      <x:c r="H1" s="1"/>
    </x:row>
    <x:row r="2">
      <x:c r="A2" s="2" t="str">
        <x:v>Repository references, evidence boundaries and controlled vocabulary</x:v>
      </x:c>
      <x:c r="B2" s="2"/>
      <x:c r="C2" s="2"/>
      <x:c r="D2" s="2"/>
      <x:c r="E2" s="2"/>
      <x:c r="F2" s="2"/>
      <x:c r="G2" s="2"/>
      <x:c r="H2" s="2"/>
    </x:row>
    <x:row r="3">
      <x:c r="A3" s="62" t="str">
        <x:v>Retained for traceability only. Do not execute legacy UAT, V1/V2/Lite/Legacy, environment-allowlist, or isolated-database instructions from this sheet; use the 2026-09-17 sheets and staging-safety runbook.</x:v>
      </x:c>
      <x:c r="B3" s="3"/>
      <x:c r="C3" s="3"/>
      <x:c r="D3" s="3"/>
      <x:c r="E3" s="3"/>
      <x:c r="F3" s="3"/>
      <x:c r="G3" s="3"/>
      <x:c r="H3" s="3"/>
    </x:row>
    <x:row r="4" ht="4" customHeight="1">
      <x:c r="A4" s="4"/>
      <x:c r="B4" s="4"/>
      <x:c r="C4" s="4"/>
      <x:c r="D4" s="4"/>
      <x:c r="E4" s="4"/>
      <x:c r="F4" s="4"/>
      <x:c r="G4" s="4"/>
      <x:c r="H4" s="4"/>
    </x:row>
    <x:row r="5" ht="36" customHeight="1">
      <x:c r="A5" s="16" t="str">
        <x:v>Source ID</x:v>
      </x:c>
      <x:c r="B5" s="17" t="str">
        <x:v>Source type</x:v>
      </x:c>
      <x:c r="C5" s="17" t="str">
        <x:v>Reference</x:v>
      </x:c>
      <x:c r="D5" s="17" t="str">
        <x:v>Use in this plan</x:v>
      </x:c>
      <x:c r="E5" s="18" t="str">
        <x:v>Limitation / refresh rule</x:v>
      </x:c>
      <x:c r="G5" s="36" t="str">
        <x:v>Controlled field</x:v>
      </x:c>
      <x:c r="H5" s="36" t="str">
        <x:v>Allowed values</x:v>
      </x:c>
    </x:row>
    <x:row r="6">
      <x:c r="A6" s="22" t="str">
        <x:v>SRC-01</x:v>
      </x:c>
      <x:c r="B6" s="22" t="str">
        <x:v>Repository snapshot</x:v>
      </x:c>
      <x:c r="C6" s="22" t="str">
        <x:v>Git commit fc36dbde1cf38f32777f42671559682835a29a4c</x:v>
      </x:c>
      <x:c r="D6" s="22" t="str">
        <x:v>Current clean planning baseline on 2026-09-09</x:v>
      </x:c>
      <x:c r="E6" s="22" t="str">
        <x:v>Reconfirm before execution</x:v>
      </x:c>
      <x:c r="G6" s="44" t="str">
        <x:v>Priority</x:v>
      </x:c>
      <x:c r="H6" s="44" t="str">
        <x:v>P0, P1, P2, P3</x:v>
      </x:c>
    </x:row>
    <x:row r="7">
      <x:c r="A7" s="23" t="str">
        <x:v>SRC-02</x:v>
      </x:c>
      <x:c r="B7" s="23" t="str">
        <x:v>Recent changes</x:v>
      </x:c>
      <x:c r="C7" s="23" t="str">
        <x:v>Git range 12ecefa..fc36dbd</x:v>
      </x:c>
      <x:c r="D7" s="23" t="str">
        <x:v>Feature-scope semantics and Designation/Onboarding entry changes</x:v>
      </x:c>
      <x:c r="E7" s="23" t="str">
        <x:v>Reviewed; runtime testing Not Run</x:v>
      </x:c>
      <x:c r="G7" s="45" t="str">
        <x:v>Implementation</x:v>
      </x:c>
      <x:c r="H7" s="45" t="str">
        <x:v>Backlog, Ready, Not Run, In Progress, UX Review, Code Review, Ready for UAT, Blocked, Rework, Done, Deferred</x:v>
      </x:c>
    </x:row>
    <x:row r="8">
      <x:c r="A8" s="23" t="str">
        <x:v>SRC-03</x:v>
      </x:c>
      <x:c r="B8" s="23" t="str">
        <x:v>Configuration</x:v>
      </x:c>
      <x:c r="C8" s="23" t="str">
        <x:v>backend/.env.example</x:v>
      </x:c>
      <x:c r="D8" s="23" t="str">
        <x:v>Current flag names, provider controls and safe examples</x:v>
      </x:c>
      <x:c r="E8" s="23" t="str">
        <x:v>Never copy placeholder secrets into deployment</x:v>
      </x:c>
      <x:c r="G8" s="45" t="str">
        <x:v>Verification</x:v>
      </x:c>
      <x:c r="H8" s="45" t="str">
        <x:v>Not Run, In Progress, Passed, Failed, Blocked, Not Applicable</x:v>
      </x:c>
    </x:row>
    <x:row r="9">
      <x:c r="A9" s="23" t="str">
        <x:v>SRC-04</x:v>
      </x:c>
      <x:c r="B9" s="23" t="str">
        <x:v>Navigation</x:v>
      </x:c>
      <x:c r="C9" s="23" t="str">
        <x:v>frontend/config/navigation.ts</x:v>
      </x:c>
      <x:c r="D9" s="23" t="str">
        <x:v>Current menu, routes, permissions and capabilities</x:v>
      </x:c>
      <x:c r="E9" s="23" t="str">
        <x:v>Preserve current routes unless a dedicated create/edit page is approved</x:v>
      </x:c>
      <x:c r="G9" s="45" t="str">
        <x:v>Documentation</x:v>
      </x:c>
      <x:c r="H9" s="45" t="str">
        <x:v>Backlog, In Progress, Ready for Review, Reviewed, Not Applicable</x:v>
      </x:c>
    </x:row>
    <x:row r="10">
      <x:c r="A10" s="23" t="str">
        <x:v>SRC-05</x:v>
      </x:c>
      <x:c r="B10" s="23" t="str">
        <x:v>Designation UI</x:v>
      </x:c>
      <x:c r="C10" s="23" t="str">
        <x:v>frontend/features/designation</x:v>
      </x:c>
      <x:c r="D10" s="23" t="str">
        <x:v>Optional Onboarding Involvement Department and create orchestration</x:v>
      </x:c>
      <x:c r="E10" s="23" t="str">
        <x:v>Recent review findings RF-002–RF-006</x:v>
      </x:c>
      <x:c r="G10" s="45" t="str">
        <x:v>Availability</x:v>
      </x:c>
      <x:c r="H10" s="45" t="str">
        <x:v>Implemented, Partial, Role-restricted, Proposed, Planned, Deferred, Provider-dependent</x:v>
      </x:c>
    </x:row>
    <x:row r="11">
      <x:c r="A11" s="23" t="str">
        <x:v>SRC-06</x:v>
      </x:c>
      <x:c r="B11" s="23" t="str">
        <x:v>Designation backend</x:v>
      </x:c>
      <x:c r="C11" s="23" t="str">
        <x:v>backend/src/modules/designation/designation.service.ts</x:v>
      </x:c>
      <x:c r="D11" s="23" t="str">
        <x:v>Template/version/scope/Department creation and Branch constraint</x:v>
      </x:c>
      <x:c r="E11" s="23" t="str">
        <x:v>Link-side transaction exists; overall frontend orchestration is two calls</x:v>
      </x:c>
      <x:c r="G11" s="46" t="str">
        <x:v>Defect</x:v>
      </x:c>
      <x:c r="H11" s="46" t="str">
        <x:v>Open, In Progress, Ready for Retest, Closed, Accepted Risk, Deferred</x:v>
      </x:c>
    </x:row>
    <x:row r="12">
      <x:c r="A12" s="23" t="str">
        <x:v>SRC-07</x:v>
      </x:c>
      <x:c r="B12" s="23" t="str">
        <x:v>Feature gates</x:v>
      </x:c>
      <x:c r="C12" s="23" t="str">
        <x:v>backend/src/config and backend/src/modules/module-capabilities</x:v>
      </x:c>
      <x:c r="D12" s="23" t="str">
        <x:v>Empty-list semantics and module dependencies</x:v>
      </x:c>
      <x:c r="E12" s="23" t="str">
        <x:v>Delivery remains separately controlled</x:v>
      </x:c>
    </x:row>
    <x:row r="13">
      <x:c r="A13" s="23" t="str">
        <x:v>SRC-08</x:v>
      </x:c>
      <x:c r="B13" s="23" t="str">
        <x:v>Workflow coverage</x:v>
      </x:c>
      <x:c r="C13" s="23" t="str">
        <x:v>docs/testing/erp-complete-website-workflow-and-manual-e2e-test-guide.md</x:v>
      </x:c>
      <x:c r="D13" s="23" t="str">
        <x:v>End-to-end workflow and manual test coverage map</x:v>
      </x:c>
      <x:c r="E13" s="23" t="str">
        <x:v>Coverage does not prove execution</x:v>
      </x:c>
    </x:row>
    <x:row r="14">
      <x:c r="A14" s="23" t="str">
        <x:v>SRC-09</x:v>
      </x:c>
      <x:c r="B14" s="23" t="str">
        <x:v>Recent UAT</x:v>
      </x:c>
      <x:c r="C14" s="23" t="str">
        <x:v>docs/testing/uat-e2e-20260903-01/UAT-E2E-20260903-01-checklist.md</x:v>
      </x:c>
      <x:c r="D14" s="23" t="str">
        <x:v>Prior phase evidence and partial/not-run items</x:v>
      </x:c>
      <x:c r="E14" s="23" t="str">
        <x:v>Predates current recent changes</x:v>
      </x:c>
    </x:row>
    <x:row r="15">
      <x:c r="A15" s="23" t="str">
        <x:v>SRC-10</x:v>
      </x:c>
      <x:c r="B15" s="23" t="str">
        <x:v>Production handoff</x:v>
      </x:c>
      <x:c r="C15" s="23" t="str">
        <x:v>User-provided HRMS/ERP Initial-Release Production-Readiness Handoff dated 2026-09-08</x:v>
      </x:c>
      <x:c r="D15" s="23" t="str">
        <x:v>Current NO-GO conditions, migration/provider/persona/sign-off gaps</x:v>
      </x:c>
      <x:c r="E15" s="23" t="str">
        <x:v>Deployed SHA still requires independent confirmation</x:v>
      </x:c>
    </x:row>
    <x:row r="16">
      <x:c r="A16" s="24" t="str">
        <x:v>SRC-11</x:v>
      </x:c>
      <x:c r="B16" s="24" t="str">
        <x:v>Recent code review</x:v>
      </x:c>
      <x:c r="C16" s="24" t="str">
        <x:v>Bugbot review dated 2026-09-09</x:v>
      </x:c>
      <x:c r="D16" s="24" t="str">
        <x:v>Nine actionable findings mapped to RF-001–RF-009 and W0-02–W0-10</x:v>
      </x:c>
      <x:c r="E16" s="24" t="str">
        <x:v>Source review only; tests Not Run</x:v>
      </x:c>
    </x:row>
    <x:row r="19">
      <x:c r="G19" t="str"/>
    </x:row>
  </x:sheetData>
  <x:pageMargins left="0.7" right="0.7" top="0.75" bottom="0.75" header="0.3" footer="0.3"/>
  <x:tableParts count="1">
    <x:tablePart xmlns:r="http://schemas.openxmlformats.org/officeDocument/2006/relationships" r:id="Re8736117b0384747"/>
  </x:tableParts>
</x:worksheet>
</file>

<file path=xl/worksheets/sheet9.xml><?xml version="1.0" encoding="utf-8"?>
<x:worksheet xmlns:x="http://schemas.openxmlformats.org/spreadsheetml/2006/main">
  <x:sheetViews>
    <x:sheetView showGridLines="0" workbookViewId="0">
      <x:pane ySplit="4" topLeftCell="A5" activePane="bottomLeft" state="frozen"/>
    </x:sheetView>
  </x:sheetViews>
  <x:sheetFormatPr defaultRowHeight="15"/>
  <x:cols>
    <x:col min="1" max="1" width="27" hidden="0" customWidth="1"/>
    <x:col min="2" max="2" width="25" hidden="0" customWidth="1"/>
    <x:col min="3" max="3" width="10" hidden="0" customWidth="1"/>
    <x:col min="4" max="4" width="28" hidden="0" customWidth="1"/>
    <x:col min="5" max="5" width="48" hidden="0" customWidth="1"/>
    <x:col min="6" max="6" width="44" hidden="0" customWidth="1"/>
    <x:col min="7" max="7" width="18" hidden="0" customWidth="1"/>
    <x:col min="8" max="8" width="22" hidden="0" customWidth="1"/>
  </x:cols>
  <x:sheetData>
    <x:row r="1">
      <x:c r="A1" s="1" t="str">
        <x:v>DSP ERP production fix and improvement plan</x:v>
      </x:c>
      <x:c r="B1" s="1"/>
      <x:c r="C1" s="1"/>
      <x:c r="D1" s="1"/>
      <x:c r="E1" s="1"/>
      <x:c r="F1" s="1"/>
      <x:c r="G1" s="1"/>
      <x:c r="H1" s="1"/>
      <x:c r="I1" s="1"/>
      <x:c r="J1" s="1"/>
      <x:c r="K1" s="1"/>
      <x:c r="L1" s="1"/>
      <x:c r="M1" s="1"/>
      <x:c r="N1" s="1"/>
      <x:c r="O1" s="1"/>
      <x:c r="P1" s="1"/>
    </x:row>
    <x:row r="2">
      <x:c r="A2" s="2" t="str">
        <x:v>Workflow hardening, guarded staging-schema validation, reference-data contract and evidence-led release readiness</x:v>
      </x:c>
      <x:c r="B2" s="2"/>
      <x:c r="C2" s="2"/>
      <x:c r="D2" s="2"/>
      <x:c r="E2" s="2"/>
      <x:c r="F2" s="2"/>
      <x:c r="G2" s="2"/>
      <x:c r="H2" s="2"/>
      <x:c r="I2" s="2"/>
      <x:c r="J2" s="2"/>
      <x:c r="K2" s="2"/>
      <x:c r="L2" s="2"/>
      <x:c r="M2" s="2"/>
      <x:c r="N2" s="2"/>
      <x:c r="O2" s="2"/>
      <x:c r="P2" s="2"/>
    </x:row>
    <x:row r="3">
      <x:c r="A3" s="3" t="str">
        <x:v>Regenerated 2026-09-22. Current navigation: 69 routes; 69 auditable; 0 planned. Historical smoke: 59 passed; 0 failed; 3 skipped (62 total); it predates Approval workflows. Company Modules &amp; Features passed a targeted three-persona browser smoke; Approval workflows and the complete current route inventory still require a fresh audit. Release remains NO-GO until the remaining gates pass.</x:v>
      </x:c>
      <x:c r="B3" s="3"/>
      <x:c r="C3" s="3"/>
      <x:c r="D3" s="3"/>
      <x:c r="E3" s="3"/>
      <x:c r="F3" s="3"/>
      <x:c r="G3" s="3"/>
      <x:c r="H3" s="3"/>
      <x:c r="I3" s="3"/>
      <x:c r="J3" s="3"/>
      <x:c r="K3" s="3"/>
      <x:c r="L3" s="3"/>
      <x:c r="M3" s="3"/>
      <x:c r="N3" s="3"/>
      <x:c r="O3" s="3"/>
      <x:c r="P3" s="3"/>
    </x:row>
    <x:row r="4" ht="4" customHeight="1">
      <x:c r="A4" s="4"/>
      <x:c r="B4" s="4"/>
      <x:c r="C4" s="4"/>
      <x:c r="D4" s="4"/>
      <x:c r="E4" s="4"/>
      <x:c r="F4" s="4"/>
      <x:c r="G4" s="4"/>
      <x:c r="H4" s="4"/>
      <x:c r="I4" s="4"/>
      <x:c r="J4" s="4"/>
      <x:c r="K4" s="4"/>
      <x:c r="L4" s="4"/>
      <x:c r="M4" s="4"/>
      <x:c r="N4" s="4"/>
      <x:c r="O4" s="4"/>
      <x:c r="P4" s="4"/>
    </x:row>
    <x:row r="5">
      <x:c r="A5" s="47" t="str">
        <x:v>Plan measure</x:v>
      </x:c>
      <x:c r="B5" s="47" t="str">
        <x:v>Current value</x:v>
      </x:c>
      <x:c r="D5" s="36" t="str">
        <x:v>Approved planning rule</x:v>
      </x:c>
      <x:c r="E5" s="36" t="str">
        <x:v>Requirement</x:v>
      </x:c>
      <x:c r="F5" s="36" t="str">
        <x:v>Reason</x:v>
      </x:c>
      <x:c r="G5" s="36" t="str">
        <x:v>Execution status</x:v>
      </x:c>
      <x:c r="H5" s="36" t="str">
        <x:v>Owner</x:v>
      </x:c>
    </x:row>
    <x:row r="6">
      <x:c r="A6" s="52" t="str">
        <x:v>Release decision</x:v>
      </x:c>
      <x:c r="B6" s="56" t="str">
        <x:v>NO-GO</x:v>
      </x:c>
      <x:c r="D6" s="44" t="str">
        <x:v>Testing target</x:v>
      </x:c>
      <x:c r="E6" s="44" t="str">
        <x:v>Shared dsp_erp_dev; guarded dsp_pms_stg schema</x:v>
      </x:c>
      <x:c r="F6" s="44" t="str">
        <x:v>Uses current infrastructure while refusing dsp_pms and isolating all synthetic QA data</x:v>
      </x:c>
      <x:c r="G6" s="44" t="str">
        <x:v>Staging verified; browser surface checks incomplete; release remains NO-GO</x:v>
      </x:c>
      <x:c r="H6" s="44" t="str">
        <x:v>Release Owner</x:v>
      </x:c>
    </x:row>
    <x:row r="7">
      <x:c r="A7" s="53" t="str">
        <x:v>Total tasks</x:v>
      </x:c>
      <x:c r="B7" s="57" t="n">
        <x:f>COUNTA('Master Tasks'!$A$6:$A$143)</x:f>
        <x:v>138</x:v>
      </x:c>
      <x:c r="D7" s="45" t="str">
        <x:v>Company modules</x:v>
      </x:c>
      <x:c r="E7" s="45" t="str">
        <x:v>Canonical baseline entitlements for every Company</x:v>
      </x:c>
      <x:c r="F7" s="45" t="str">
        <x:v>Eliminates tenant UUID allowlists and inconsistent empty-list behavior</x:v>
      </x:c>
      <x:c r="G7" s="45" t="str">
        <x:v>Implemented and verified in staging</x:v>
      </x:c>
      <x:c r="H7" s="45" t="str">
        <x:v>Product Owner</x:v>
      </x:c>
    </x:row>
    <x:row r="8">
      <x:c r="A8" s="53" t="str">
        <x:v>P0 tasks</x:v>
      </x:c>
      <x:c r="B8" s="57" t="n">
        <x:f>COUNTIF('Master Tasks'!$J$6:$J$143,"P0")</x:f>
        <x:v>38</x:v>
      </x:c>
      <x:c r="D8" s="45" t="str">
        <x:v>Delivery</x:v>
      </x:c>
      <x:c r="E8" s="45" t="str">
        <x:v>Company entitlement plus provider readiness</x:v>
      </x:c>
      <x:c r="F8" s="45" t="str">
        <x:v>Uses one canonical workflow without active version labels</x:v>
      </x:c>
      <x:c r="G8" s="45" t="str">
        <x:v>Implemented; provider-backed recovery tests pending</x:v>
      </x:c>
      <x:c r="H8" s="45" t="str">
        <x:v>Delivery Owner</x:v>
      </x:c>
    </x:row>
    <x:row r="9">
      <x:c r="A9" s="53" t="str">
        <x:v>P1 tasks</x:v>
      </x:c>
      <x:c r="B9" s="57" t="n">
        <x:f>COUNTIF('Master Tasks'!$J$6:$J$143,"P1")</x:f>
        <x:v>80</x:v>
      </x:c>
      <x:c r="D9" s="45" t="str">
        <x:v>Existing forms</x:v>
      </x:c>
      <x:c r="E9" s="45" t="str">
        <x:v>Retain the UI and clarify controls, validation and workflow states</x:v>
      </x:c>
      <x:c r="F9" s="45" t="str">
        <x:v>Prioritizes usable end-to-end workflow over visual redesign</x:v>
      </x:c>
      <x:c r="G9" s="45" t="str">
        <x:v>Non-mutating surfaces verified; live journeys pending</x:v>
      </x:c>
      <x:c r="H9" s="45" t="str">
        <x:v>Product Owner</x:v>
      </x:c>
    </x:row>
    <x:row r="10">
      <x:c r="A10" s="53" t="str">
        <x:v>Open recent findings</x:v>
      </x:c>
      <x:c r="B10" s="57" t="n">
        <x:v>3</x:v>
      </x:c>
      <x:c r="D10" s="45" t="str">
        <x:v>Small actions</x:v>
      </x:c>
      <x:c r="E10" s="45" t="str">
        <x:v>Dialogs for confirmations, approvals, assignments and remarks</x:v>
      </x:c>
      <x:c r="F10" s="45" t="str">
        <x:v>Keeps short actions concise while preserving clear validation</x:v>
      </x:c>
      <x:c r="G10" s="45" t="str">
        <x:v>Representative controls verified</x:v>
      </x:c>
      <x:c r="H10" s="45" t="str">
        <x:v>UX Owner</x:v>
      </x:c>
    </x:row>
    <x:row r="11">
      <x:c r="A11" s="53" t="str">
        <x:v>Golden-thread/manual cases Not Run</x:v>
      </x:c>
      <x:c r="B11" s="57" t="n">
        <x:v>24</x:v>
      </x:c>
      <x:c r="D11" s="46" t="str">
        <x:v>Evidence</x:v>
      </x:c>
      <x:c r="E11" s="46" t="str">
        <x:v>Automation, browser checks and business validation tracked separately</x:v>
      </x:c>
      <x:c r="F11" s="46" t="str">
        <x:v>A visible page or skipped journey never counts as workflow completion</x:v>
      </x:c>
      <x:c r="G11" s="46" t="str">
        <x:v>Release remains NO-GO until the open gates pass</x:v>
      </x:c>
      <x:c r="H11" s="46" t="str">
        <x:v>QA Lead</x:v>
      </x:c>
    </x:row>
    <x:row r="12">
      <x:c r="A12" s="53" t="str">
        <x:v>Release gates not passed</x:v>
      </x:c>
      <x:c r="B12" s="57" t="n">
        <x:f>COUNTIF('Release Gates'!$G$6:$G$33,"&lt;&gt;Passed")</x:f>
        <x:v>27</x:v>
      </x:c>
    </x:row>
    <x:row r="13">
      <x:c r="A13" s="54" t="str">
        <x:v>Baseline and working state</x:v>
      </x:c>
      <x:c r="B13" s="54" t="str">
        <x:v>Baseline 687a9c81e0b0e245213233502b88c89bca24b3d1 plus reviewed uncommitted implementation; no frozen release SHA</x:v>
      </x:c>
    </x:row>
    <x:row r="15">
      <x:c r="A15" s="87" t="str">
        <x:v>Historical 2026-09-09 work breakdown below — superseded by the 2026-09-17 contract, workflow, evidence and migration sheets.</x:v>
      </x:c>
    </x:row>
    <x:row r="16">
      <x:c r="A16" s="36" t="str">
        <x:v>Wave</x:v>
      </x:c>
      <x:c r="B16" s="36" t="str">
        <x:v>Focus</x:v>
      </x:c>
      <x:c r="C16" s="36" t="str">
        <x:v>Tasks</x:v>
      </x:c>
      <x:c r="D16" s="36" t="str">
        <x:v>P0 / P1</x:v>
      </x:c>
      <x:c r="E16" s="36" t="str">
        <x:v>Done</x:v>
      </x:c>
      <x:c r="F16" s="36" t="str">
        <x:v>Blocked</x:v>
      </x:c>
      <x:c r="G16" s="36" t="str">
        <x:v>Browser passed</x:v>
      </x:c>
    </x:row>
    <x:row r="17">
      <x:c r="A17" s="44" t="str">
        <x:v>W0 Production gates</x:v>
      </x:c>
      <x:c r="B17" s="44" t="str">
        <x:v>Recent review findings, environment safety, feature gates and rollback</x:v>
      </x:c>
      <x:c r="C17" s="58" t="n">
        <x:f>COUNTIF('Master Tasks'!$B$6:$B$143,A17)</x:f>
        <x:v>20</x:v>
      </x:c>
      <x:c r="D17" s="58" t="n">
        <x:f>COUNTIFS('Master Tasks'!$B$6:$B$143,A17,'Master Tasks'!$J$6:$J$143,"P0")+COUNTIFS('Master Tasks'!$B$6:$B$143,A17,'Master Tasks'!$J$6:$J$143,"P1")</x:f>
        <x:v>13</x:v>
      </x:c>
      <x:c r="E17" s="58" t="n">
        <x:f>COUNTIFS('Master Tasks'!$B$6:$B$143,A17,'Master Tasks'!$O$6:$O$143,"Done")</x:f>
        <x:v>0</x:v>
      </x:c>
      <x:c r="F17" s="58" t="n">
        <x:f>COUNTIFS('Master Tasks'!$B$6:$B$143,A17,'Master Tasks'!$O$6:$O$143,"Blocked")</x:f>
        <x:v>0</x:v>
      </x:c>
      <x:c r="G17" s="58" t="n">
        <x:f>COUNTIFS('Master Tasks'!$B$6:$B$143,A17,'Master Tasks'!$R$6:$R$143,"Passed")</x:f>
        <x:v>0</x:v>
      </x:c>
    </x:row>
    <x:row r="18">
      <x:c r="A18" s="45" t="str">
        <x:v>W1 Shared UX</x:v>
      </x:c>
      <x:c r="B18" s="45" t="str">
        <x:v>Navigation, full-page form standard, permissions and accessibility</x:v>
      </x:c>
      <x:c r="C18" s="59" t="n">
        <x:f>COUNTIF('Master Tasks'!$B$6:$B$143,A18)</x:f>
        <x:v>6</x:v>
      </x:c>
      <x:c r="D18" s="59" t="n">
        <x:f>COUNTIFS('Master Tasks'!$B$6:$B$143,A18,'Master Tasks'!$J$6:$J$143,"P0")+COUNTIFS('Master Tasks'!$B$6:$B$143,A18,'Master Tasks'!$J$6:$J$143,"P1")</x:f>
        <x:v>3</x:v>
      </x:c>
      <x:c r="E18" s="59" t="n">
        <x:f>COUNTIFS('Master Tasks'!$B$6:$B$143,A18,'Master Tasks'!$O$6:$O$143,"Done")</x:f>
        <x:v>0</x:v>
      </x:c>
      <x:c r="F18" s="59" t="n">
        <x:f>COUNTIFS('Master Tasks'!$B$6:$B$143,A18,'Master Tasks'!$O$6:$O$143,"Blocked")</x:f>
        <x:v>0</x:v>
      </x:c>
      <x:c r="G18" s="59" t="n">
        <x:f>COUNTIFS('Master Tasks'!$B$6:$B$143,A18,'Master Tasks'!$R$6:$R$143,"Passed")</x:f>
        <x:v>0</x:v>
      </x:c>
    </x:row>
    <x:row r="19">
      <x:c r="A19" s="45" t="str">
        <x:v>W2 Designation</x:v>
      </x:c>
      <x:c r="B19" s="45" t="str">
        <x:v>Designation creation and first onboarding department</x:v>
      </x:c>
      <x:c r="C19" s="59" t="n">
        <x:f>COUNTIF('Master Tasks'!$B$6:$B$143,A19)</x:f>
        <x:v>7</x:v>
      </x:c>
      <x:c r="D19" s="59" t="n">
        <x:f>COUNTIFS('Master Tasks'!$B$6:$B$143,A19,'Master Tasks'!$J$6:$J$143,"P0")+COUNTIFS('Master Tasks'!$B$6:$B$143,A19,'Master Tasks'!$J$6:$J$143,"P1")</x:f>
        <x:v>6</x:v>
      </x:c>
      <x:c r="E19" s="59" t="n">
        <x:f>COUNTIFS('Master Tasks'!$B$6:$B$143,A19,'Master Tasks'!$O$6:$O$143,"Done")</x:f>
        <x:v>0</x:v>
      </x:c>
      <x:c r="F19" s="59" t="n">
        <x:f>COUNTIFS('Master Tasks'!$B$6:$B$143,A19,'Master Tasks'!$O$6:$O$143,"Blocked")</x:f>
        <x:v>0</x:v>
      </x:c>
      <x:c r="G19" s="59" t="n">
        <x:f>COUNTIFS('Master Tasks'!$B$6:$B$143,A19,'Master Tasks'!$R$6:$R$143,"Passed")</x:f>
        <x:v>0</x:v>
      </x:c>
    </x:row>
    <x:row r="20">
      <x:c r="A20" s="45" t="str">
        <x:v>W3 Entry and organization</x:v>
      </x:c>
      <x:c r="B20" s="45" t="str">
        <x:v>Authentication, registration and organization setup</x:v>
      </x:c>
      <x:c r="C20" s="59" t="n">
        <x:f>COUNTIF('Master Tasks'!$B$6:$B$143,A20)</x:f>
        <x:v>5</x:v>
      </x:c>
      <x:c r="D20" s="59" t="n">
        <x:f>COUNTIFS('Master Tasks'!$B$6:$B$143,A20,'Master Tasks'!$J$6:$J$143,"P0")+COUNTIFS('Master Tasks'!$B$6:$B$143,A20,'Master Tasks'!$J$6:$J$143,"P1")</x:f>
        <x:v>4</x:v>
      </x:c>
      <x:c r="E20" s="59" t="n">
        <x:f>COUNTIFS('Master Tasks'!$B$6:$B$143,A20,'Master Tasks'!$O$6:$O$143,"Done")</x:f>
        <x:v>0</x:v>
      </x:c>
      <x:c r="F20" s="59" t="n">
        <x:f>COUNTIFS('Master Tasks'!$B$6:$B$143,A20,'Master Tasks'!$O$6:$O$143,"Blocked")</x:f>
        <x:v>0</x:v>
      </x:c>
      <x:c r="G20" s="59" t="n">
        <x:f>COUNTIFS('Master Tasks'!$B$6:$B$143,A20,'Master Tasks'!$R$6:$R$143,"Passed")</x:f>
        <x:v>0</x:v>
      </x:c>
    </x:row>
    <x:row r="21">
      <x:c r="A21" s="45" t="str">
        <x:v>W4 Dashboard and workspace</x:v>
      </x:c>
      <x:c r="B21" s="45" t="str">
        <x:v>Role-specific landing and employee self-service</x:v>
      </x:c>
      <x:c r="C21" s="59" t="n">
        <x:f>COUNTIF('Master Tasks'!$B$6:$B$143,A21)</x:f>
        <x:v>4</x:v>
      </x:c>
      <x:c r="D21" s="59" t="n">
        <x:f>COUNTIFS('Master Tasks'!$B$6:$B$143,A21,'Master Tasks'!$J$6:$J$143,"P0")+COUNTIFS('Master Tasks'!$B$6:$B$143,A21,'Master Tasks'!$J$6:$J$143,"P1")</x:f>
        <x:v>2</x:v>
      </x:c>
      <x:c r="E21" s="59" t="n">
        <x:f>COUNTIFS('Master Tasks'!$B$6:$B$143,A21,'Master Tasks'!$O$6:$O$143,"Done")</x:f>
        <x:v>0</x:v>
      </x:c>
      <x:c r="F21" s="59" t="n">
        <x:f>COUNTIFS('Master Tasks'!$B$6:$B$143,A21,'Master Tasks'!$O$6:$O$143,"Blocked")</x:f>
        <x:v>0</x:v>
      </x:c>
      <x:c r="G21" s="59" t="n">
        <x:f>COUNTIFS('Master Tasks'!$B$6:$B$143,A21,'Master Tasks'!$R$6:$R$143,"Passed")</x:f>
        <x:v>0</x:v>
      </x:c>
    </x:row>
    <x:row r="22">
      <x:c r="A22" s="45" t="str">
        <x:v>W5 Administration and security</x:v>
      </x:c>
      <x:c r="B22" s="45" t="str">
        <x:v>Organization masters, Users, Roles and access preview</x:v>
      </x:c>
      <x:c r="C22" s="59" t="n">
        <x:f>COUNTIF('Master Tasks'!$B$6:$B$143,A22)</x:f>
        <x:v>7</x:v>
      </x:c>
      <x:c r="D22" s="59" t="n">
        <x:f>COUNTIFS('Master Tasks'!$B$6:$B$143,A22,'Master Tasks'!$J$6:$J$143,"P0")+COUNTIFS('Master Tasks'!$B$6:$B$143,A22,'Master Tasks'!$J$6:$J$143,"P1")</x:f>
        <x:v>3</x:v>
      </x:c>
      <x:c r="E22" s="59" t="n">
        <x:f>COUNTIFS('Master Tasks'!$B$6:$B$143,A22,'Master Tasks'!$O$6:$O$143,"Done")</x:f>
        <x:v>0</x:v>
      </x:c>
      <x:c r="F22" s="59" t="n">
        <x:f>COUNTIFS('Master Tasks'!$B$6:$B$143,A22,'Master Tasks'!$O$6:$O$143,"Blocked")</x:f>
        <x:v>0</x:v>
      </x:c>
      <x:c r="G22" s="59" t="n">
        <x:f>COUNTIFS('Master Tasks'!$B$6:$B$143,A22,'Master Tasks'!$R$6:$R$143,"Passed")</x:f>
        <x:v>0</x:v>
      </x:c>
    </x:row>
    <x:row r="23">
      <x:c r="A23" s="45" t="str">
        <x:v>W6 Employees and documents</x:v>
      </x:c>
      <x:c r="B23" s="45" t="str">
        <x:v>Employee directory/profile and secure documents</x:v>
      </x:c>
      <x:c r="C23" s="59" t="n">
        <x:f>COUNTIF('Master Tasks'!$B$6:$B$143,A23)</x:f>
        <x:v>6</x:v>
      </x:c>
      <x:c r="D23" s="59" t="n">
        <x:f>COUNTIFS('Master Tasks'!$B$6:$B$143,A23,'Master Tasks'!$J$6:$J$143,"P0")+COUNTIFS('Master Tasks'!$B$6:$B$143,A23,'Master Tasks'!$J$6:$J$143,"P1")</x:f>
        <x:v>6</x:v>
      </x:c>
      <x:c r="E23" s="59" t="n">
        <x:f>COUNTIFS('Master Tasks'!$B$6:$B$143,A23,'Master Tasks'!$O$6:$O$143,"Done")</x:f>
        <x:v>0</x:v>
      </x:c>
      <x:c r="F23" s="59" t="n">
        <x:f>COUNTIFS('Master Tasks'!$B$6:$B$143,A23,'Master Tasks'!$O$6:$O$143,"Blocked")</x:f>
        <x:v>0</x:v>
      </x:c>
      <x:c r="G23" s="59" t="n">
        <x:f>COUNTIFS('Master Tasks'!$B$6:$B$143,A23,'Master Tasks'!$R$6:$R$143,"Passed")</x:f>
        <x:v>0</x:v>
      </x:c>
    </x:row>
    <x:row r="24">
      <x:c r="A24" s="45" t="str">
        <x:v>W7 Recruitment</x:v>
      </x:c>
      <x:c r="B24" s="45" t="str">
        <x:v>Opening through offer and conversion</x:v>
      </x:c>
      <x:c r="C24" s="59" t="n">
        <x:f>COUNTIF('Master Tasks'!$B$6:$B$143,A24)</x:f>
        <x:v>8</x:v>
      </x:c>
      <x:c r="D24" s="59" t="n">
        <x:f>COUNTIFS('Master Tasks'!$B$6:$B$143,A24,'Master Tasks'!$J$6:$J$143,"P0")+COUNTIFS('Master Tasks'!$B$6:$B$143,A24,'Master Tasks'!$J$6:$J$143,"P1")</x:f>
        <x:v>8</x:v>
      </x:c>
      <x:c r="E24" s="59" t="n">
        <x:f>COUNTIFS('Master Tasks'!$B$6:$B$143,A24,'Master Tasks'!$O$6:$O$143,"Done")</x:f>
        <x:v>0</x:v>
      </x:c>
      <x:c r="F24" s="59" t="n">
        <x:f>COUNTIFS('Master Tasks'!$B$6:$B$143,A24,'Master Tasks'!$O$6:$O$143,"Blocked")</x:f>
        <x:v>0</x:v>
      </x:c>
      <x:c r="G24" s="59" t="n">
        <x:f>COUNTIFS('Master Tasks'!$B$6:$B$143,A24,'Master Tasks'!$R$6:$R$143,"Passed")</x:f>
        <x:v>0</x:v>
      </x:c>
    </x:row>
    <x:row r="25">
      <x:c r="A25" s="45" t="str">
        <x:v>W8 Onboarding</x:v>
      </x:c>
      <x:c r="B25" s="45" t="str">
        <x:v>Template authoring through Employee activation</x:v>
      </x:c>
      <x:c r="C25" s="59" t="n">
        <x:f>COUNTIF('Master Tasks'!$B$6:$B$143,A25)</x:f>
        <x:v>8</x:v>
      </x:c>
      <x:c r="D25" s="59" t="n">
        <x:f>COUNTIFS('Master Tasks'!$B$6:$B$143,A25,'Master Tasks'!$J$6:$J$143,"P0")+COUNTIFS('Master Tasks'!$B$6:$B$143,A25,'Master Tasks'!$J$6:$J$143,"P1")</x:f>
        <x:v>8</x:v>
      </x:c>
      <x:c r="E25" s="59" t="n">
        <x:f>COUNTIFS('Master Tasks'!$B$6:$B$143,A25,'Master Tasks'!$O$6:$O$143,"Done")</x:f>
        <x:v>0</x:v>
      </x:c>
      <x:c r="F25" s="59" t="n">
        <x:f>COUNTIFS('Master Tasks'!$B$6:$B$143,A25,'Master Tasks'!$O$6:$O$143,"Blocked")</x:f>
        <x:v>0</x:v>
      </x:c>
      <x:c r="G25" s="59" t="n">
        <x:f>COUNTIFS('Master Tasks'!$B$6:$B$143,A25,'Master Tasks'!$R$6:$R$143,"Passed")</x:f>
        <x:v>0</x:v>
      </x:c>
    </x:row>
    <x:row r="26">
      <x:c r="A26" s="45" t="str">
        <x:v>W9 Workforce setup</x:v>
      </x:c>
      <x:c r="B26" s="45" t="str">
        <x:v>Calendar, Shifts and Work Schedule</x:v>
      </x:c>
      <x:c r="C26" s="59" t="n">
        <x:f>COUNTIF('Master Tasks'!$B$6:$B$143,A26)</x:f>
        <x:v>5</x:v>
      </x:c>
      <x:c r="D26" s="59" t="n">
        <x:f>COUNTIFS('Master Tasks'!$B$6:$B$143,A26,'Master Tasks'!$J$6:$J$143,"P0")+COUNTIFS('Master Tasks'!$B$6:$B$143,A26,'Master Tasks'!$J$6:$J$143,"P1")</x:f>
        <x:v>5</x:v>
      </x:c>
      <x:c r="E26" s="59" t="n">
        <x:f>COUNTIFS('Master Tasks'!$B$6:$B$143,A26,'Master Tasks'!$O$6:$O$143,"Done")</x:f>
        <x:v>0</x:v>
      </x:c>
      <x:c r="F26" s="59" t="n">
        <x:f>COUNTIFS('Master Tasks'!$B$6:$B$143,A26,'Master Tasks'!$O$6:$O$143,"Blocked")</x:f>
        <x:v>0</x:v>
      </x:c>
      <x:c r="G26" s="59" t="n">
        <x:f>COUNTIFS('Master Tasks'!$B$6:$B$143,A26,'Master Tasks'!$R$6:$R$143,"Passed")</x:f>
        <x:v>0</x:v>
      </x:c>
    </x:row>
    <x:row r="27">
      <x:c r="A27" s="45" t="str">
        <x:v>W10 Attendance</x:v>
      </x:c>
      <x:c r="B27" s="45" t="str">
        <x:v>Daily attendance, exceptions and period close</x:v>
      </x:c>
      <x:c r="C27" s="59" t="n">
        <x:f>COUNTIF('Master Tasks'!$B$6:$B$143,A27)</x:f>
        <x:v>5</x:v>
      </x:c>
      <x:c r="D27" s="59" t="n">
        <x:f>COUNTIFS('Master Tasks'!$B$6:$B$143,A27,'Master Tasks'!$J$6:$J$143,"P0")+COUNTIFS('Master Tasks'!$B$6:$B$143,A27,'Master Tasks'!$J$6:$J$143,"P1")</x:f>
        <x:v>5</x:v>
      </x:c>
      <x:c r="E27" s="59" t="n">
        <x:f>COUNTIFS('Master Tasks'!$B$6:$B$143,A27,'Master Tasks'!$O$6:$O$143,"Done")</x:f>
        <x:v>0</x:v>
      </x:c>
      <x:c r="F27" s="59" t="n">
        <x:f>COUNTIFS('Master Tasks'!$B$6:$B$143,A27,'Master Tasks'!$O$6:$O$143,"Blocked")</x:f>
        <x:v>0</x:v>
      </x:c>
      <x:c r="G27" s="59" t="n">
        <x:f>COUNTIFS('Master Tasks'!$B$6:$B$143,A27,'Master Tasks'!$R$6:$R$143,"Passed")</x:f>
        <x:v>0</x:v>
      </x:c>
    </x:row>
    <x:row r="28">
      <x:c r="A28" s="45" t="str">
        <x:v>W11 Leave and overtime</x:v>
      </x:c>
      <x:c r="B28" s="45" t="str">
        <x:v>Policy, balances, approvals, overtime and Comp-off</x:v>
      </x:c>
      <x:c r="C28" s="59" t="n">
        <x:f>COUNTIF('Master Tasks'!$B$6:$B$143,A28)</x:f>
        <x:v>7</x:v>
      </x:c>
      <x:c r="D28" s="59" t="n">
        <x:f>COUNTIFS('Master Tasks'!$B$6:$B$143,A28,'Master Tasks'!$J$6:$J$143,"P0")+COUNTIFS('Master Tasks'!$B$6:$B$143,A28,'Master Tasks'!$J$6:$J$143,"P1")</x:f>
        <x:v>7</x:v>
      </x:c>
      <x:c r="E28" s="59" t="n">
        <x:f>COUNTIFS('Master Tasks'!$B$6:$B$143,A28,'Master Tasks'!$O$6:$O$143,"Done")</x:f>
        <x:v>0</x:v>
      </x:c>
      <x:c r="F28" s="59" t="n">
        <x:f>COUNTIFS('Master Tasks'!$B$6:$B$143,A28,'Master Tasks'!$O$6:$O$143,"Blocked")</x:f>
        <x:v>0</x:v>
      </x:c>
      <x:c r="G28" s="59" t="n">
        <x:f>COUNTIFS('Master Tasks'!$B$6:$B$143,A28,'Master Tasks'!$R$6:$R$143,"Passed")</x:f>
        <x:v>0</x:v>
      </x:c>
    </x:row>
    <x:row r="29">
      <x:c r="A29" s="45" t="str">
        <x:v>W12 Assets</x:v>
      </x:c>
      <x:c r="B29" s="45" t="str">
        <x:v>Inventory, licences, custody, transfer and clearance</x:v>
      </x:c>
      <x:c r="C29" s="59" t="n">
        <x:f>COUNTIF('Master Tasks'!$B$6:$B$143,A29)</x:f>
        <x:v>7</x:v>
      </x:c>
      <x:c r="D29" s="59" t="n">
        <x:f>COUNTIFS('Master Tasks'!$B$6:$B$143,A29,'Master Tasks'!$J$6:$J$143,"P0")+COUNTIFS('Master Tasks'!$B$6:$B$143,A29,'Master Tasks'!$J$6:$J$143,"P1")</x:f>
        <x:v>7</x:v>
      </x:c>
      <x:c r="E29" s="59" t="n">
        <x:f>COUNTIFS('Master Tasks'!$B$6:$B$143,A29,'Master Tasks'!$O$6:$O$143,"Done")</x:f>
        <x:v>0</x:v>
      </x:c>
      <x:c r="F29" s="59" t="n">
        <x:f>COUNTIFS('Master Tasks'!$B$6:$B$143,A29,'Master Tasks'!$O$6:$O$143,"Blocked")</x:f>
        <x:v>0</x:v>
      </x:c>
      <x:c r="G29" s="59" t="n">
        <x:f>COUNTIFS('Master Tasks'!$B$6:$B$143,A29,'Master Tasks'!$R$6:$R$143,"Passed")</x:f>
        <x:v>0</x:v>
      </x:c>
    </x:row>
    <x:row r="30">
      <x:c r="A30" s="45" t="str">
        <x:v>W13 HR operations</x:v>
      </x:c>
      <x:c r="B30" s="45" t="str">
        <x:v>HR Requests and Employee Separation</x:v>
      </x:c>
      <x:c r="C30" s="59" t="n">
        <x:f>COUNTIF('Master Tasks'!$B$6:$B$143,A30)</x:f>
        <x:v>7</x:v>
      </x:c>
      <x:c r="D30" s="59" t="n">
        <x:f>COUNTIFS('Master Tasks'!$B$6:$B$143,A30,'Master Tasks'!$J$6:$J$143,"P0")+COUNTIFS('Master Tasks'!$B$6:$B$143,A30,'Master Tasks'!$J$6:$J$143,"P1")</x:f>
        <x:v>7</x:v>
      </x:c>
      <x:c r="E30" s="59" t="n">
        <x:f>COUNTIFS('Master Tasks'!$B$6:$B$143,A30,'Master Tasks'!$O$6:$O$143,"Done")</x:f>
        <x:v>0</x:v>
      </x:c>
      <x:c r="F30" s="59" t="n">
        <x:f>COUNTIFS('Master Tasks'!$B$6:$B$143,A30,'Master Tasks'!$O$6:$O$143,"Blocked")</x:f>
        <x:v>0</x:v>
      </x:c>
      <x:c r="G30" s="59" t="n">
        <x:f>COUNTIFS('Master Tasks'!$B$6:$B$143,A30,'Master Tasks'!$R$6:$R$143,"Passed")</x:f>
        <x:v>0</x:v>
      </x:c>
    </x:row>
    <x:row r="31">
      <x:c r="A31" s="45" t="str">
        <x:v>W14 Projects</x:v>
      </x:c>
      <x:c r="B31" s="45" t="str">
        <x:v>Project setup, tasks, evidence and summaries</x:v>
      </x:c>
      <x:c r="C31" s="59" t="n">
        <x:f>COUNTIF('Master Tasks'!$B$6:$B$143,A31)</x:f>
        <x:v>7</x:v>
      </x:c>
      <x:c r="D31" s="59" t="n">
        <x:f>COUNTIFS('Master Tasks'!$B$6:$B$143,A31,'Master Tasks'!$J$6:$J$143,"P0")+COUNTIFS('Master Tasks'!$B$6:$B$143,A31,'Master Tasks'!$J$6:$J$143,"P1")</x:f>
        <x:v>6</x:v>
      </x:c>
      <x:c r="E31" s="59" t="n">
        <x:f>COUNTIFS('Master Tasks'!$B$6:$B$143,A31,'Master Tasks'!$O$6:$O$143,"Done")</x:f>
        <x:v>0</x:v>
      </x:c>
      <x:c r="F31" s="59" t="n">
        <x:f>COUNTIFS('Master Tasks'!$B$6:$B$143,A31,'Master Tasks'!$O$6:$O$143,"Blocked")</x:f>
        <x:v>0</x:v>
      </x:c>
      <x:c r="G31" s="59" t="n">
        <x:f>COUNTIFS('Master Tasks'!$B$6:$B$143,A31,'Master Tasks'!$R$6:$R$143,"Passed")</x:f>
        <x:v>0</x:v>
      </x:c>
    </x:row>
    <x:row r="32">
      <x:c r="A32" s="45" t="str">
        <x:v>W15 Timesheets</x:v>
      </x:c>
      <x:c r="B32" s="45" t="str">
        <x:v>Employee entry and manager approval</x:v>
      </x:c>
      <x:c r="C32" s="59" t="n">
        <x:f>COUNTIF('Master Tasks'!$B$6:$B$143,A32)</x:f>
        <x:v>5</x:v>
      </x:c>
      <x:c r="D32" s="59" t="n">
        <x:f>COUNTIFS('Master Tasks'!$B$6:$B$143,A32,'Master Tasks'!$J$6:$J$143,"P0")+COUNTIFS('Master Tasks'!$B$6:$B$143,A32,'Master Tasks'!$J$6:$J$143,"P1")</x:f>
        <x:v>4</x:v>
      </x:c>
      <x:c r="E32" s="59" t="n">
        <x:f>COUNTIFS('Master Tasks'!$B$6:$B$143,A32,'Master Tasks'!$O$6:$O$143,"Done")</x:f>
        <x:v>0</x:v>
      </x:c>
      <x:c r="F32" s="59" t="n">
        <x:f>COUNTIFS('Master Tasks'!$B$6:$B$143,A32,'Master Tasks'!$O$6:$O$143,"Blocked")</x:f>
        <x:v>0</x:v>
      </x:c>
      <x:c r="G32" s="59" t="n">
        <x:f>COUNTIFS('Master Tasks'!$B$6:$B$143,A32,'Master Tasks'!$R$6:$R$143,"Passed")</x:f>
        <x:v>0</x:v>
      </x:c>
    </x:row>
    <x:row r="33">
      <x:c r="A33" s="45" t="str">
        <x:v>W16 Office Finance</x:v>
      </x:c>
      <x:c r="B33" s="45" t="str">
        <x:v>Setup, maker-checker transactions and reports</x:v>
      </x:c>
      <x:c r="C33" s="59" t="n">
        <x:f>COUNTIF('Master Tasks'!$B$6:$B$143,A33)</x:f>
        <x:v>5</x:v>
      </x:c>
      <x:c r="D33" s="59" t="n">
        <x:f>COUNTIFS('Master Tasks'!$B$6:$B$143,A33,'Master Tasks'!$J$6:$J$143,"P0")+COUNTIFS('Master Tasks'!$B$6:$B$143,A33,'Master Tasks'!$J$6:$J$143,"P1")</x:f>
        <x:v>5</x:v>
      </x:c>
      <x:c r="E33" s="59" t="n">
        <x:f>COUNTIFS('Master Tasks'!$B$6:$B$143,A33,'Master Tasks'!$O$6:$O$143,"Done")</x:f>
        <x:v>0</x:v>
      </x:c>
      <x:c r="F33" s="59" t="n">
        <x:f>COUNTIFS('Master Tasks'!$B$6:$B$143,A33,'Master Tasks'!$O$6:$O$143,"Blocked")</x:f>
        <x:v>0</x:v>
      </x:c>
      <x:c r="G33" s="59" t="n">
        <x:f>COUNTIFS('Master Tasks'!$B$6:$B$143,A33,'Master Tasks'!$R$6:$R$143,"Passed")</x:f>
        <x:v>0</x:v>
      </x:c>
    </x:row>
    <x:row r="34">
      <x:c r="A34" s="45" t="str">
        <x:v>W17 Payroll</x:v>
      </x:c>
      <x:c r="B34" s="45" t="str">
        <x:v>Setup, calculation, payment and Payslips</x:v>
      </x:c>
      <x:c r="C34" s="59" t="n">
        <x:f>COUNTIF('Master Tasks'!$B$6:$B$143,A34)</x:f>
        <x:v>8</x:v>
      </x:c>
      <x:c r="D34" s="59" t="n">
        <x:f>COUNTIFS('Master Tasks'!$B$6:$B$143,A34,'Master Tasks'!$J$6:$J$143,"P0")+COUNTIFS('Master Tasks'!$B$6:$B$143,A34,'Master Tasks'!$J$6:$J$143,"P1")</x:f>
        <x:v>8</x:v>
      </x:c>
      <x:c r="E34" s="59" t="n">
        <x:f>COUNTIFS('Master Tasks'!$B$6:$B$143,A34,'Master Tasks'!$O$6:$O$143,"Done")</x:f>
        <x:v>0</x:v>
      </x:c>
      <x:c r="F34" s="59" t="n">
        <x:f>COUNTIFS('Master Tasks'!$B$6:$B$143,A34,'Master Tasks'!$O$6:$O$143,"Blocked")</x:f>
        <x:v>0</x:v>
      </x:c>
      <x:c r="G34" s="59" t="n">
        <x:f>COUNTIFS('Master Tasks'!$B$6:$B$143,A34,'Master Tasks'!$R$6:$R$143,"Passed")</x:f>
        <x:v>0</x:v>
      </x:c>
    </x:row>
    <x:row r="35">
      <x:c r="A35" s="45" t="str">
        <x:v>W18 Operations</x:v>
      </x:c>
      <x:c r="B35" s="45" t="str">
        <x:v>Delivery, files, scanning and retention</x:v>
      </x:c>
      <x:c r="C35" s="59" t="n">
        <x:f>COUNTIF('Master Tasks'!$B$6:$B$143,A35)</x:f>
        <x:v>5</x:v>
      </x:c>
      <x:c r="D35" s="59" t="n">
        <x:f>COUNTIFS('Master Tasks'!$B$6:$B$143,A35,'Master Tasks'!$J$6:$J$143,"P0")+COUNTIFS('Master Tasks'!$B$6:$B$143,A35,'Master Tasks'!$J$6:$J$143,"P1")</x:f>
        <x:v>5</x:v>
      </x:c>
      <x:c r="E35" s="59" t="n">
        <x:f>COUNTIFS('Master Tasks'!$B$6:$B$143,A35,'Master Tasks'!$O$6:$O$143,"Done")</x:f>
        <x:v>0</x:v>
      </x:c>
      <x:c r="F35" s="59" t="n">
        <x:f>COUNTIFS('Master Tasks'!$B$6:$B$143,A35,'Master Tasks'!$O$6:$O$143,"Blocked")</x:f>
        <x:v>0</x:v>
      </x:c>
      <x:c r="G35" s="59" t="n">
        <x:f>COUNTIFS('Master Tasks'!$B$6:$B$143,A35,'Master Tasks'!$R$6:$R$143,"Passed")</x:f>
        <x:v>0</x:v>
      </x:c>
    </x:row>
    <x:row r="36">
      <x:c r="A36" s="46" t="str">
        <x:v>W19 Acceptance</x:v>
      </x:c>
      <x:c r="B36" s="46" t="str">
        <x:v>Regression, UAT, documentation and release sign-off</x:v>
      </x:c>
      <x:c r="C36" s="60" t="n">
        <x:f>COUNTIF('Master Tasks'!$B$6:$B$143,A36)</x:f>
        <x:v>6</x:v>
      </x:c>
      <x:c r="D36" s="60" t="n">
        <x:f>COUNTIFS('Master Tasks'!$B$6:$B$143,A36,'Master Tasks'!$J$6:$J$143,"P0")+COUNTIFS('Master Tasks'!$B$6:$B$143,A36,'Master Tasks'!$J$6:$J$143,"P1")</x:f>
        <x:v>6</x:v>
      </x:c>
      <x:c r="E36" s="60" t="n">
        <x:f>COUNTIFS('Master Tasks'!$B$6:$B$143,A36,'Master Tasks'!$O$6:$O$143,"Done")</x:f>
        <x:v>0</x:v>
      </x:c>
      <x:c r="F36" s="60" t="n">
        <x:f>COUNTIFS('Master Tasks'!$B$6:$B$143,A36,'Master Tasks'!$O$6:$O$143,"Blocked")</x:f>
        <x:v>0</x:v>
      </x:c>
      <x:c r="G36" s="60" t="n">
        <x:f>COUNTIFS('Master Tasks'!$B$6:$B$143,A36,'Master Tasks'!$R$6:$R$143,"Passed")</x:f>
        <x:v>0</x:v>
      </x:c>
    </x:row>
  </x:sheetData>
  <x:conditionalFormatting sqref="G6:G11">
    <x:cfRule type="containsText" dxfId="16" priority="1" operator="containsText" text="Blocked"/>
  </x:conditionalFormatting>
  <x:pageMargins left="0.7" right="0.7" top="0.75" bottom="0.75" header="0.3" footer="0.3"/>
</x:worksheet>
</file>

<file path=xl/worksheets/sheet10.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20" hidden="0" customWidth="1"/>
    <x:col min="2" max="2" width="28" hidden="0" customWidth="1"/>
    <x:col min="3" max="3" width="16" hidden="0" customWidth="1"/>
    <x:col min="4" max="4" width="48" hidden="0" customWidth="1"/>
    <x:col min="5" max="5" width="44" hidden="0" customWidth="1"/>
    <x:col min="6" max="6" width="18" hidden="0" customWidth="1"/>
  </x:cols>
  <x:sheetData>
    <x:row r="1" ht="24" customHeight="1">
      <x:c r="A1" s="64" t="str">
        <x:v>Reference Data Contract</x:v>
      </x:c>
      <x:c r="B1" s="63"/>
      <x:c r="C1" s="63"/>
      <x:c r="D1" s="63"/>
      <x:c r="E1" s="63"/>
      <x:c r="F1" s="63"/>
    </x:row>
    <x:row r="2" ht="18" customHeight="1">
      <x:c r="A2" s="65" t="str">
        <x:v>Canonical meanings, stable masters, run-owned data and cleanup rules</x:v>
      </x:c>
    </x:row>
    <x:row r="3" ht="18" customHeight="1">
      <x:c r="A3" s="66" t="str">
        <x:v>Approved implementation contract; synthetic QA data only.</x:v>
      </x:c>
    </x:row>
    <x:row r="5" ht="32" customHeight="1">
      <x:c r="A5" s="78" t="str">
        <x:v>Domain</x:v>
      </x:c>
      <x:c r="B5" s="79" t="str">
        <x:v>Canonical entity/data</x:v>
      </x:c>
      <x:c r="C5" s="79" t="str">
        <x:v>Data class</x:v>
      </x:c>
      <x:c r="D5" s="79" t="str">
        <x:v>Rule</x:v>
      </x:c>
      <x:c r="E5" s="79" t="str">
        <x:v>Validation / evidence</x:v>
      </x:c>
      <x:c r="F5" s="80" t="str">
        <x:v>Status</x:v>
      </x:c>
    </x:row>
    <x:row r="6">
      <x:c r="A6" s="84" t="str">
        <x:v>Tenant boundary</x:v>
      </x:c>
      <x:c r="B6" s="84" t="str">
        <x:v>Company Group</x:v>
      </x:c>
      <x:c r="C6" s="84" t="str">
        <x:v>Stable master</x:v>
      </x:c>
      <x:c r="D6" s="84" t="str">
        <x:v>One customer tenant; all Company data remains inside the group.</x:v>
      </x:c>
      <x:c r="E6" s="84" t="str">
        <x:v>Direct-ID denial across DSP Reference Group QA and DSP Isolation Group QA.</x:v>
      </x:c>
      <x:c r="F6" s="84" t="str">
        <x:v>Approved contract</x:v>
      </x:c>
    </x:row>
    <x:row r="7">
      <x:c r="A7" s="85" t="str">
        <x:v>Legal entity</x:v>
      </x:c>
      <x:c r="B7" s="85" t="str">
        <x:v>Company</x:v>
      </x:c>
      <x:c r="C7" s="85" t="str">
        <x:v>Stable master</x:v>
      </x:c>
      <x:c r="D7" s="85" t="str">
        <x:v>One legal entity with explicit legal country; finance profile owns currency/reporting period.</x:v>
      </x:c>
      <x:c r="E7" s="85" t="str">
        <x:v>India and UAE Companies required before E2E.</x:v>
      </x:c>
      <x:c r="F7" s="85" t="str">
        <x:v>Approved contract</x:v>
      </x:c>
    </x:row>
    <x:row r="8">
      <x:c r="A8" s="85" t="str">
        <x:v>Operating location</x:v>
      </x:c>
      <x:c r="B8" s="85" t="str">
        <x:v>Branch</x:v>
      </x:c>
      <x:c r="C8" s="85" t="str">
        <x:v>Stable master</x:v>
      </x:c>
      <x:c r="D8" s="85" t="str">
        <x:v>Company-owned location with country, subdivision, IANA timezone and reviewed workweek.</x:v>
      </x:c>
      <x:c r="E8" s="85" t="str">
        <x:v>Five primary branches plus one isolation branch.</x:v>
      </x:c>
      <x:c r="F8" s="85" t="str">
        <x:v>Approved contract</x:v>
      </x:c>
    </x:row>
    <x:row r="9">
      <x:c r="A9" s="85" t="str">
        <x:v>Functional unit</x:v>
      </x:c>
      <x:c r="B9" s="85" t="str">
        <x:v>Department</x:v>
      </x:c>
      <x:c r="C9" s="85" t="str">
        <x:v>Stable master</x:v>
      </x:c>
      <x:c r="D9" s="85" t="str">
        <x:v>Branch-specific; no generic team/business-unit engine in this phase.</x:v>
      </x:c>
      <x:c r="E9" s="85" t="str">
        <x:v>Department branchId must match Employee branchId.</x:v>
      </x:c>
      <x:c r="F9" s="85" t="str">
        <x:v>Approved contract</x:v>
      </x:c>
    </x:row>
    <x:row r="10">
      <x:c r="A10" s="85" t="str">
        <x:v>Job title</x:v>
      </x:c>
      <x:c r="B10" s="85" t="str">
        <x:v>Designation</x:v>
      </x:c>
      <x:c r="C10" s="85" t="str">
        <x:v>Stable master</x:v>
      </x:c>
      <x:c r="D10" s="85" t="str">
        <x:v>Company-scoped title; never grants permissions.</x:v>
      </x:c>
      <x:c r="E10" s="85" t="str">
        <x:v>Role and designation verified independently.</x:v>
      </x:c>
      <x:c r="F10" s="85" t="str">
        <x:v>Approved contract</x:v>
      </x:c>
    </x:row>
    <x:row r="11">
      <x:c r="A11" s="85" t="str">
        <x:v>Worker record</x:v>
      </x:c>
      <x:c r="B11" s="85" t="str">
        <x:v>Employee</x:v>
      </x:c>
      <x:c r="C11" s="85" t="str">
        <x:v>Stable persona/master</x:v>
      </x:c>
      <x:c r="D11" s="85" t="str">
        <x:v>One authoritative Company, Branch, Department, Designation and reporting manager.</x:v>
      </x:c>
      <x:c r="E11" s="85" t="str">
        <x:v>Cross-branch same-Company manager allowed; cross-Company denied.</x:v>
      </x:c>
      <x:c r="F11" s="85" t="str">
        <x:v>Applied and verified</x:v>
      </x:c>
    </x:row>
    <x:row r="12">
      <x:c r="A12" s="85" t="str">
        <x:v>Login identity</x:v>
      </x:c>
      <x:c r="B12" s="85" t="str">
        <x:v>User</x:v>
      </x:c>
      <x:c r="C12" s="85" t="str">
        <x:v>Stable persona/master</x:v>
      </x:c>
      <x:c r="D12" s="85" t="str">
        <x:v>Optional one-to-one Employee link; disabled and no-login states are deliberate.</x:v>
      </x:c>
      <x:c r="E12" s="85" t="str">
        <x:v>Invitation acceptance and session creation are transactional test data.</x:v>
      </x:c>
      <x:c r="F12" s="85" t="str">
        <x:v>Applied and verified</x:v>
      </x:c>
    </x:row>
    <x:row r="13">
      <x:c r="A13" s="85" t="str">
        <x:v>Authorization</x:v>
      </x:c>
      <x:c r="B13" s="85" t="str">
        <x:v>Role Assignment</x:v>
      </x:c>
      <x:c r="C13" s="85" t="str">
        <x:v>Stable persona/master</x:v>
      </x:c>
      <x:c r="D13" s="85" t="str">
        <x:v>Application permissions plus Company/Branch scope; never inferred from Designation.</x:v>
      </x:c>
      <x:c r="E13" s="85" t="str">
        <x:v>All nine system roles plus three least-privilege roles exercised.</x:v>
      </x:c>
      <x:c r="F13" s="85" t="str">
        <x:v>Applied and verified</x:v>
      </x:c>
    </x:row>
    <x:row r="14">
      <x:c r="A14" s="85" t="str">
        <x:v>Counterparty</x:v>
      </x:c>
      <x:c r="B14" s="85" t="str">
        <x:v>Business Party</x:v>
      </x:c>
      <x:c r="C14" s="85" t="str">
        <x:v>Stable master</x:v>
      </x:c>
      <x:c r="D14" s="85" t="str">
        <x:v>Company-scoped Customer or Vendor.</x:v>
      </x:c>
      <x:c r="E14" s="85" t="str">
        <x:v>Two customers and one India vendor.</x:v>
      </x:c>
      <x:c r="F14" s="85" t="str">
        <x:v>Approved contract</x:v>
      </x:c>
    </x:row>
    <x:row r="15">
      <x:c r="A15" s="85" t="str">
        <x:v>Delivery work</x:v>
      </x:c>
      <x:c r="B15" s="85" t="str">
        <x:v>Project</x:v>
      </x:c>
      <x:c r="C15" s="85" t="str">
        <x:v>Stable + per-run</x:v>
      </x:c>
      <x:c r="D15" s="85" t="str">
        <x:v>Company-owned; optional Branch/Customer; Employee project manager.</x:v>
      </x:c>
      <x:c r="E15" s="85" t="str">
        <x:v>Baseline list/detail records and run-owned creation journeys.</x:v>
      </x:c>
      <x:c r="F15" s="85" t="str">
        <x:v>Approved contract</x:v>
      </x:c>
    </x:row>
    <x:row r="16">
      <x:c r="A16" s="85" t="str">
        <x:v>Legacy assignment</x:v>
      </x:c>
      <x:c r="B16" s="85" t="str">
        <x:v>EmployeeCompanyAssignment</x:v>
      </x:c>
      <x:c r="C16" s="85" t="str">
        <x:v>Excluded</x:v>
      </x:c>
      <x:c r="D16" s="85" t="str">
        <x:v>Not canonical for MVP because active modules use Employee placement directly.</x:v>
      </x:c>
      <x:c r="E16" s="85" t="str">
        <x:v>Record inconsistent owner-only usage as defect; do not seed.</x:v>
      </x:c>
      <x:c r="F16" s="85" t="str">
        <x:v>Excluded</x:v>
      </x:c>
    </x:row>
    <x:row r="17">
      <x:c r="A17" s="85" t="str">
        <x:v>Additional hierarchy</x:v>
      </x:c>
      <x:c r="B17" s="85" t="str">
        <x:v>Teams, business units, cost centres, matrix managers</x:v>
      </x:c>
      <x:c r="C17" s="85" t="str">
        <x:v>Excluded</x:v>
      </x:c>
      <x:c r="D17" s="85" t="str">
        <x:v>Do not add a generic organization engine in this phase.</x:v>
      </x:c>
      <x:c r="E17" s="85" t="str">
        <x:v>Scope guard in review and backlog.</x:v>
      </x:c>
      <x:c r="F17" s="85" t="str">
        <x:v>Excluded</x:v>
      </x:c>
    </x:row>
    <x:row r="18">
      <x:c r="A18" s="85" t="str">
        <x:v>Primary tenant</x:v>
      </x:c>
      <x:c r="B18" s="85" t="str">
        <x:v>DSP Reference Group QA</x:v>
      </x:c>
      <x:c r="C18" s="85" t="str">
        <x:v>Stable master</x:v>
      </x:c>
      <x:c r="D18" s="85" t="str">
        <x:v>Contains India and UAE legal Companies.</x:v>
      </x:c>
      <x:c r="E18" s="85" t="str">
        <x:v>Synthetic names/codes/emails visibly contain QA.</x:v>
      </x:c>
      <x:c r="F18" s="85" t="str">
        <x:v>Approved contract</x:v>
      </x:c>
    </x:row>
    <x:row r="19">
      <x:c r="A19" s="85" t="str">
        <x:v>Isolation tenant</x:v>
      </x:c>
      <x:c r="B19" s="85" t="str">
        <x:v>DSP Isolation Group QA</x:v>
      </x:c>
      <x:c r="C19" s="85" t="str">
        <x:v>Stable master</x:v>
      </x:c>
      <x:c r="D19" s="85" t="str">
        <x:v>Minimal second tenant used only for cross-tenant denial.</x:v>
      </x:c>
      <x:c r="E19" s="85" t="str">
        <x:v>No primary-tenant foreign key may resolve.</x:v>
      </x:c>
      <x:c r="F19" s="85" t="str">
        <x:v>Approved contract</x:v>
      </x:c>
    </x:row>
    <x:row r="20">
      <x:c r="A20" s="85" t="str">
        <x:v>Safe baseline adapters</x:v>
      </x:c>
      <x:c r="B20" s="85" t="str">
        <x:v>8 idempotent layers</x:v>
      </x:c>
      <x:c r="C20" s="85" t="str">
        <x:v>Guarded seed</x:v>
      </x:c>
      <x:c r="D20" s="85" t="str">
        <x:v>Shifts 4; workweek rows 42; finance 16; salary components 6; leave 23; workforce approvals 12; parties/projects 6; assets/licences 20.</x:v>
      </x:c>
      <x:c r="E20" s="85" t="str">
        <x:v>Final guarded rerun left all 188 organization/master records unchanged with zero drift; staging fingerprint 91fd7193fdb19f05b5752e1b145e0ba7695e4b35b3eceb1c18b1dbdd49f42722.</x:v>
      </x:c>
      <x:c r="F20" s="85" t="str">
        <x:v>Applied and verified</x:v>
      </x:c>
    </x:row>
    <x:row r="21">
      <x:c r="A21" s="85" t="str">
        <x:v>Stable personas</x:v>
      </x:c>
      <x:c r="B21" s="85" t="str">
        <x:v>23 profiles</x:v>
      </x:c>
      <x:c r="C21" s="85" t="str">
        <x:v>Guarded seed</x:v>
      </x:c>
      <x:c r="D21" s="85" t="str">
        <x:v>22 Users, 22 Employees, three custom roles, scoped assignments, reporting lines and one Department grant.</x:v>
      </x:c>
      <x:c r="E21" s="85" t="str">
        <x:v>Final guarded apply synchronized 21 User records; immediate rerun left all 126 persona artifacts unchanged with zero drift.</x:v>
      </x:c>
      <x:c r="F21" s="85" t="str">
        <x:v>Applied and verified</x:v>
      </x:c>
    </x:row>
    <x:row r="22">
      <x:c r="A22" s="85" t="str">
        <x:v>Service-owned baseline</x:v>
      </x:c>
      <x:c r="B22" s="85" t="str">
        <x:v>11 explicit layers</x:v>
      </x:c>
      <x:c r="C22" s="85" t="str">
        <x:v>Contract only</x:v>
      </x:c>
      <x:c r="D22" s="85" t="str">
        <x:v>Entitlements, currencies, holidays, salary/tax, attendance/overtime, independent approvals, templates, secure files, project states, encrypted card and controlled files must use their owning services.</x:v>
      </x:c>
      <x:c r="E22" s="85" t="str">
        <x:v>Each layer records a fail-closed reason; no direct Prisma shortcut is allowed.</x:v>
      </x:c>
      <x:c r="F22" s="85" t="str">
        <x:v>Approved contract</x:v>
      </x:c>
    </x:row>
    <x:row r="23">
      <x:c r="A23" s="85" t="str">
        <x:v>Mutable identifier</x:v>
      </x:c>
      <x:c r="B23" s="85" t="str">
        <x:v>QA-&lt;suite&gt;-&lt;UTC timestamp&gt;-&lt;nonce&gt;</x:v>
      </x:c>
      <x:c r="C23" s="85" t="str">
        <x:v>Per test run</x:v>
      </x:c>
      <x:c r="D23" s="85" t="str">
        <x:v>Required in codes, email aliases and descriptions.</x:v>
      </x:c>
      <x:c r="E23" s="85" t="str">
        <x:v>Run manifest records every created ID.</x:v>
      </x:c>
      <x:c r="F23" s="85" t="str">
        <x:v>Approved contract</x:v>
      </x:c>
    </x:row>
    <x:row r="24">
      <x:c r="A24" s="85" t="str">
        <x:v>Cleanup</x:v>
      </x:c>
      <x:c r="B24" s="85" t="str">
        <x:v>Exact manifest IDs only</x:v>
      </x:c>
      <x:c r="C24" s="85" t="str">
        <x:v>Per test run</x:v>
      </x:c>
      <x:c r="D24" s="85" t="str">
        <x:v>Delete in dependency order; never broad-delete by prefix or date.</x:v>
      </x:c>
      <x:c r="E24" s="85" t="str">
        <x:v>Schema guard, sentinel and confirmation token required.</x:v>
      </x:c>
      <x:c r="F24" s="85" t="str">
        <x:v>Approved contract</x:v>
      </x:c>
    </x:row>
    <x:row r="25">
      <x:c r="A25" s="85" t="str">
        <x:v>Recruitment</x:v>
      </x:c>
      <x:c r="B25" s="85" t="str">
        <x:v>Candidate through joiner</x:v>
      </x:c>
      <x:c r="C25" s="85" t="str">
        <x:v>Per test run</x:v>
      </x:c>
      <x:c r="D25" s="85" t="str">
        <x:v>Application, interview, evaluation, offer, conversion, invitation and onboarding.</x:v>
      </x:c>
      <x:c r="E25" s="85" t="str">
        <x:v>Clean signed offer plus required document mappings.</x:v>
      </x:c>
      <x:c r="F25" s="85" t="str">
        <x:v>Not run</x:v>
      </x:c>
    </x:row>
    <x:row r="26">
      <x:c r="A26" s="85" t="str">
        <x:v>Workforce</x:v>
      </x:c>
      <x:c r="B26" s="85" t="str">
        <x:v>Attendance/leave/overtime/comp-off</x:v>
      </x:c>
      <x:c r="C26" s="85" t="str">
        <x:v>Per test run</x:v>
      </x:c>
      <x:c r="D26" s="85" t="str">
        <x:v>Requests, approvals, period transitions and conflicts are recreated each run.</x:v>
      </x:c>
      <x:c r="E26" s="85" t="str">
        <x:v>Manager then HR where configured.</x:v>
      </x:c>
      <x:c r="F26" s="85" t="str">
        <x:v>Not run</x:v>
      </x:c>
    </x:row>
    <x:row r="27">
      <x:c r="A27" s="85" t="str">
        <x:v>Assets</x:v>
      </x:c>
      <x:c r="B27" s="85" t="str">
        <x:v>Custody and licences</x:v>
      </x:c>
      <x:c r="C27" s="85" t="str">
        <x:v>Per test run</x:v>
      </x:c>
      <x:c r="D27" s="85" t="str">
        <x:v>Assignment, acknowledgement, transfer, return, waiver and allocation.</x:v>
      </x:c>
      <x:c r="E27" s="85" t="str">
        <x:v>Independent sensitive waiver approval.</x:v>
      </x:c>
      <x:c r="F27" s="85" t="str">
        <x:v>Not run</x:v>
      </x:c>
    </x:row>
    <x:row r="28">
      <x:c r="A28" s="85" t="str">
        <x:v>Finance and payroll</x:v>
      </x:c>
      <x:c r="B28" s="85" t="str">
        <x:v>Transactions/runs</x:v>
      </x:c>
      <x:c r="C28" s="85" t="str">
        <x:v>Per test run</x:v>
      </x:c>
      <x:c r="D28" s="85" t="str">
        <x:v>Maker/checker, reversal, payroll approval/payment/expense/payslip.</x:v>
      </x:c>
      <x:c r="E28" s="85" t="str">
        <x:v>Maker and approver identities must differ.</x:v>
      </x:c>
      <x:c r="F28" s="85" t="str">
        <x:v>Not run</x:v>
      </x:c>
    </x:row>
    <x:row r="29">
      <x:c r="A29" s="85" t="str">
        <x:v>Files and delivery</x:v>
      </x:c>
      <x:c r="B29" s="85" t="str">
        <x:v>Operations</x:v>
      </x:c>
      <x:c r="C29" s="85" t="str">
        <x:v>Per test run</x:v>
      </x:c>
      <x:c r="D29" s="85" t="str">
        <x:v>Upload, scan, receipt, retry, suppression and dead letter.</x:v>
      </x:c>
      <x:c r="E29" s="85" t="str">
        <x:v>Provider-backed cases require sandbox services.</x:v>
      </x:c>
      <x:c r="F29" s="85" t="str">
        <x:v>Not run</x:v>
      </x:c>
    </x:row>
    <x:row r="30">
      <x:c r="A30" s="86" t="str">
        <x:v>Concurrency</x:v>
      </x:c>
      <x:c r="B30" s="86" t="str">
        <x:v>Operation IDs and expected versions</x:v>
      </x:c>
      <x:c r="C30" s="86" t="str">
        <x:v>Per test run</x:v>
      </x:c>
      <x:c r="D30" s="86" t="str">
        <x:v>Exercise replay, stale version and double-submit behavior.</x:v>
      </x:c>
      <x:c r="E30" s="86" t="str">
        <x:v>Deterministic assertions; no AI-only pass.</x:v>
      </x:c>
      <x:c r="F30" s="86" t="str">
        <x:v>Not run</x:v>
      </x:c>
    </x:row>
  </x:sheetData>
  <x:pageMargins left="0.7" right="0.7" top="0.75" bottom="0.75" header="0.3" footer="0.3"/>
  <x:tableParts count="1">
    <x:tablePart xmlns:r="http://schemas.openxmlformats.org/officeDocument/2006/relationships" r:id="R8dea91063fe44199"/>
  </x:tableParts>
</x:worksheet>
</file>

<file path=xl/worksheets/sheet11.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4" hidden="0" customWidth="1"/>
    <x:col min="2" max="2" width="24" hidden="0" customWidth="1"/>
    <x:col min="3" max="3" width="28" hidden="0" customWidth="1"/>
    <x:col min="4" max="4" width="24" hidden="0" customWidth="1"/>
    <x:col min="5" max="5" width="28" hidden="0" customWidth="1"/>
    <x:col min="6" max="6" width="20" hidden="0" customWidth="1"/>
    <x:col min="7" max="7" width="22" hidden="0" customWidth="1"/>
    <x:col min="8" max="8" width="24" hidden="0" customWidth="1"/>
    <x:col min="9" max="9" width="16" hidden="0" customWidth="1"/>
    <x:col min="10" max="10" width="14" hidden="0" customWidth="1"/>
    <x:col min="11" max="11" width="24" hidden="0" customWidth="1"/>
    <x:col min="12" max="12" width="14" hidden="0" customWidth="1"/>
    <x:col min="13" max="13" width="44" hidden="0" customWidth="1"/>
  </x:cols>
  <x:sheetData>
    <x:row r="1" ht="24" customHeight="1">
      <x:c r="A1" s="64" t="str">
        <x:v>Organization and Persona Matrix</x:v>
      </x:c>
      <x:c r="B1" s="63"/>
      <x:c r="C1" s="63"/>
      <x:c r="D1" s="63"/>
      <x:c r="E1" s="63"/>
      <x:c r="F1" s="63"/>
      <x:c r="G1" s="63"/>
      <x:c r="H1" s="63"/>
      <x:c r="I1" s="63"/>
      <x:c r="J1" s="63"/>
      <x:c r="K1" s="63"/>
      <x:c r="L1" s="63"/>
      <x:c r="M1" s="63"/>
    </x:row>
    <x:row r="2" ht="18" customHeight="1">
      <x:c r="A2" s="65" t="str">
        <x:v>Production-shaped India/UAE reference organization plus isolation tenant</x:v>
      </x:c>
    </x:row>
    <x:row r="3" ht="18" customHeight="1">
      <x:c r="A3" s="66" t="str">
        <x:v>Organization masters and 23 stable persona profiles are applied to dsp_pms_stg. The immediate persona rerun left all 126 artifacts unchanged; one additional joiner remains per-run E2E data.</x:v>
      </x:c>
    </x:row>
    <x:row r="5" ht="32" customHeight="1">
      <x:c r="A5" s="78" t="str">
        <x:v>Record type</x:v>
      </x:c>
      <x:c r="B5" s="79" t="str">
        <x:v>Company Group</x:v>
      </x:c>
      <x:c r="C5" s="79" t="str">
        <x:v>Company</x:v>
      </x:c>
      <x:c r="D5" s="79" t="str">
        <x:v>Branch</x:v>
      </x:c>
      <x:c r="E5" s="79" t="str">
        <x:v>Name / Persona</x:v>
      </x:c>
      <x:c r="F5" s="79" t="str">
        <x:v>Department</x:v>
      </x:c>
      <x:c r="G5" s="79" t="str">
        <x:v>Designation</x:v>
      </x:c>
      <x:c r="H5" s="79" t="str">
        <x:v>Role</x:v>
      </x:c>
      <x:c r="I5" s="79" t="str">
        <x:v>Scope</x:v>
      </x:c>
      <x:c r="J5" s="79" t="str">
        <x:v>Login</x:v>
      </x:c>
      <x:c r="K5" s="79" t="str">
        <x:v>Reporting manager</x:v>
      </x:c>
      <x:c r="L5" s="79" t="str">
        <x:v>Data class</x:v>
      </x:c>
      <x:c r="M5" s="80" t="str">
        <x:v>Purpose / configuration</x:v>
      </x:c>
    </x:row>
    <x:row r="6">
      <x:c r="A6" s="84" t="str">
        <x:v>Company</x:v>
      </x:c>
      <x:c r="B6" s="84" t="str">
        <x:v>DSP Reference Group QA</x:v>
      </x:c>
      <x:c r="C6" s="84" t="str">
        <x:v>DSP India Services Pvt Ltd QA</x:v>
      </x:c>
      <x:c r="D6" s="84" t="str"/>
      <x:c r="E6" s="84" t="str">
        <x:v>DSP-IN-QA</x:v>
      </x:c>
      <x:c r="F6" s="84" t="str"/>
      <x:c r="G6" s="84" t="str"/>
      <x:c r="H6" s="84" t="str"/>
      <x:c r="I6" s="84" t="str">
        <x:v>Legal entity</x:v>
      </x:c>
      <x:c r="J6" s="84" t="str">
        <x:v>N/A</x:v>
      </x:c>
      <x:c r="K6" s="84" t="str"/>
      <x:c r="L6" s="84" t="str">
        <x:v>Stable contract</x:v>
      </x:c>
      <x:c r="M6" s="84" t="str">
        <x:v>IN · INR · Asia/Kolkata · reporting year April–March; applied to dsp_pms_stg</x:v>
      </x:c>
    </x:row>
    <x:row r="7">
      <x:c r="A7" s="85" t="str">
        <x:v>Company</x:v>
      </x:c>
      <x:c r="B7" s="85" t="str">
        <x:v>DSP Reference Group QA</x:v>
      </x:c>
      <x:c r="C7" s="85" t="str">
        <x:v>DSP UAE Services LLC QA</x:v>
      </x:c>
      <x:c r="D7" s="85" t="str"/>
      <x:c r="E7" s="85" t="str">
        <x:v>DSP-AE-QA</x:v>
      </x:c>
      <x:c r="F7" s="85" t="str"/>
      <x:c r="G7" s="85" t="str"/>
      <x:c r="H7" s="85" t="str"/>
      <x:c r="I7" s="85" t="str">
        <x:v>Legal entity</x:v>
      </x:c>
      <x:c r="J7" s="85" t="str">
        <x:v>N/A</x:v>
      </x:c>
      <x:c r="K7" s="85" t="str"/>
      <x:c r="L7" s="85" t="str">
        <x:v>Stable contract</x:v>
      </x:c>
      <x:c r="M7" s="85" t="str">
        <x:v>AE · AED · Asia/Dubai · reporting year January–December; applied to dsp_pms_stg</x:v>
      </x:c>
    </x:row>
    <x:row r="8">
      <x:c r="A8" s="85" t="str">
        <x:v>Company</x:v>
      </x:c>
      <x:c r="B8" s="85" t="str">
        <x:v>DSP Isolation Group QA</x:v>
      </x:c>
      <x:c r="C8" s="85" t="str">
        <x:v>DSP Isolation Company QA</x:v>
      </x:c>
      <x:c r="D8" s="85" t="str"/>
      <x:c r="E8" s="85" t="str">
        <x:v>DSP-ISO-CO-QA</x:v>
      </x:c>
      <x:c r="F8" s="85" t="str"/>
      <x:c r="G8" s="85" t="str"/>
      <x:c r="H8" s="85" t="str"/>
      <x:c r="I8" s="85" t="str">
        <x:v>Legal entity</x:v>
      </x:c>
      <x:c r="J8" s="85" t="str">
        <x:v>N/A</x:v>
      </x:c>
      <x:c r="K8" s="85" t="str"/>
      <x:c r="L8" s="85" t="str">
        <x:v>Stable contract</x:v>
      </x:c>
      <x:c r="M8" s="85" t="str">
        <x:v>IN · INR · Asia/Kolkata · isolation-only baseline; applied to dsp_pms_stg</x:v>
      </x:c>
    </x:row>
    <x:row r="9">
      <x:c r="A9" s="85" t="str">
        <x:v>Department</x:v>
      </x:c>
      <x:c r="B9" s="85" t="str">
        <x:v>DSP Reference Group QA</x:v>
      </x:c>
      <x:c r="C9" s="85" t="str">
        <x:v>DSP India Services Pvt Ltd QA</x:v>
      </x:c>
      <x:c r="D9" s="85" t="str">
        <x:v>Kochi Headquarters QA</x:v>
      </x:c>
      <x:c r="E9" s="85" t="str">
        <x:v>Administration QA</x:v>
      </x:c>
      <x:c r="F9" s="85" t="str">
        <x:v>Administration QA</x:v>
      </x:c>
      <x:c r="G9" s="85" t="str"/>
      <x:c r="H9" s="85" t="str"/>
      <x:c r="I9" s="85" t="str">
        <x:v>Branch</x:v>
      </x:c>
      <x:c r="J9" s="85" t="str">
        <x:v>N/A</x:v>
      </x:c>
      <x:c r="K9" s="85" t="str"/>
      <x:c r="L9" s="85" t="str">
        <x:v>Stable contract</x:v>
      </x:c>
      <x:c r="M9" s="85" t="str">
        <x:v>Branch-owned functional unit; applied to dsp_pms_stg</x:v>
      </x:c>
    </x:row>
    <x:row r="10">
      <x:c r="A10" s="85" t="str">
        <x:v>Department</x:v>
      </x:c>
      <x:c r="B10" s="85" t="str">
        <x:v>DSP Reference Group QA</x:v>
      </x:c>
      <x:c r="C10" s="85" t="str">
        <x:v>DSP India Services Pvt Ltd QA</x:v>
      </x:c>
      <x:c r="D10" s="85" t="str">
        <x:v>Kochi Headquarters QA</x:v>
      </x:c>
      <x:c r="E10" s="85" t="str">
        <x:v>Human Resources QA</x:v>
      </x:c>
      <x:c r="F10" s="85" t="str">
        <x:v>Human Resources QA</x:v>
      </x:c>
      <x:c r="G10" s="85" t="str"/>
      <x:c r="H10" s="85" t="str"/>
      <x:c r="I10" s="85" t="str">
        <x:v>Branch</x:v>
      </x:c>
      <x:c r="J10" s="85" t="str">
        <x:v>N/A</x:v>
      </x:c>
      <x:c r="K10" s="85" t="str"/>
      <x:c r="L10" s="85" t="str">
        <x:v>Stable contract</x:v>
      </x:c>
      <x:c r="M10" s="85" t="str">
        <x:v>Branch-owned functional unit; applied to dsp_pms_stg</x:v>
      </x:c>
    </x:row>
    <x:row r="11">
      <x:c r="A11" s="85" t="str">
        <x:v>Department</x:v>
      </x:c>
      <x:c r="B11" s="85" t="str">
        <x:v>DSP Reference Group QA</x:v>
      </x:c>
      <x:c r="C11" s="85" t="str">
        <x:v>DSP India Services Pvt Ltd QA</x:v>
      </x:c>
      <x:c r="D11" s="85" t="str">
        <x:v>Kochi Headquarters QA</x:v>
      </x:c>
      <x:c r="E11" s="85" t="str">
        <x:v>Finance QA</x:v>
      </x:c>
      <x:c r="F11" s="85" t="str">
        <x:v>Finance QA</x:v>
      </x:c>
      <x:c r="G11" s="85" t="str"/>
      <x:c r="H11" s="85" t="str"/>
      <x:c r="I11" s="85" t="str">
        <x:v>Branch</x:v>
      </x:c>
      <x:c r="J11" s="85" t="str">
        <x:v>N/A</x:v>
      </x:c>
      <x:c r="K11" s="85" t="str"/>
      <x:c r="L11" s="85" t="str">
        <x:v>Stable contract</x:v>
      </x:c>
      <x:c r="M11" s="85" t="str">
        <x:v>Branch-owned functional unit; applied to dsp_pms_stg</x:v>
      </x:c>
    </x:row>
    <x:row r="12">
      <x:c r="A12" s="85" t="str">
        <x:v>Department</x:v>
      </x:c>
      <x:c r="B12" s="85" t="str">
        <x:v>DSP Reference Group QA</x:v>
      </x:c>
      <x:c r="C12" s="85" t="str">
        <x:v>DSP India Services Pvt Ltd QA</x:v>
      </x:c>
      <x:c r="D12" s="85" t="str">
        <x:v>Kochi Headquarters QA</x:v>
      </x:c>
      <x:c r="E12" s="85" t="str">
        <x:v>IT &amp; Assets QA</x:v>
      </x:c>
      <x:c r="F12" s="85" t="str">
        <x:v>IT &amp; Assets QA</x:v>
      </x:c>
      <x:c r="G12" s="85" t="str"/>
      <x:c r="H12" s="85" t="str"/>
      <x:c r="I12" s="85" t="str">
        <x:v>Branch</x:v>
      </x:c>
      <x:c r="J12" s="85" t="str">
        <x:v>N/A</x:v>
      </x:c>
      <x:c r="K12" s="85" t="str"/>
      <x:c r="L12" s="85" t="str">
        <x:v>Stable contract</x:v>
      </x:c>
      <x:c r="M12" s="85" t="str">
        <x:v>Branch-owned functional unit; applied to dsp_pms_stg</x:v>
      </x:c>
    </x:row>
    <x:row r="13">
      <x:c r="A13" s="85" t="str">
        <x:v>Department</x:v>
      </x:c>
      <x:c r="B13" s="85" t="str">
        <x:v>DSP Reference Group QA</x:v>
      </x:c>
      <x:c r="C13" s="85" t="str">
        <x:v>DSP India Services Pvt Ltd QA</x:v>
      </x:c>
      <x:c r="D13" s="85" t="str">
        <x:v>Kochi Headquarters QA</x:v>
      </x:c>
      <x:c r="E13" s="85" t="str">
        <x:v>Projects QA</x:v>
      </x:c>
      <x:c r="F13" s="85" t="str">
        <x:v>Projects QA</x:v>
      </x:c>
      <x:c r="G13" s="85" t="str"/>
      <x:c r="H13" s="85" t="str"/>
      <x:c r="I13" s="85" t="str">
        <x:v>Branch</x:v>
      </x:c>
      <x:c r="J13" s="85" t="str">
        <x:v>N/A</x:v>
      </x:c>
      <x:c r="K13" s="85" t="str"/>
      <x:c r="L13" s="85" t="str">
        <x:v>Stable contract</x:v>
      </x:c>
      <x:c r="M13" s="85" t="str">
        <x:v>Branch-owned functional unit; applied to dsp_pms_stg</x:v>
      </x:c>
    </x:row>
    <x:row r="14">
      <x:c r="A14" s="85" t="str">
        <x:v>Department</x:v>
      </x:c>
      <x:c r="B14" s="85" t="str">
        <x:v>DSP Reference Group QA</x:v>
      </x:c>
      <x:c r="C14" s="85" t="str">
        <x:v>DSP India Services Pvt Ltd QA</x:v>
      </x:c>
      <x:c r="D14" s="85" t="str">
        <x:v>Kochi Headquarters QA</x:v>
      </x:c>
      <x:c r="E14" s="85" t="str">
        <x:v>Engineering QA</x:v>
      </x:c>
      <x:c r="F14" s="85" t="str">
        <x:v>Engineering QA</x:v>
      </x:c>
      <x:c r="G14" s="85" t="str"/>
      <x:c r="H14" s="85" t="str"/>
      <x:c r="I14" s="85" t="str">
        <x:v>Branch</x:v>
      </x:c>
      <x:c r="J14" s="85" t="str">
        <x:v>N/A</x:v>
      </x:c>
      <x:c r="K14" s="85" t="str"/>
      <x:c r="L14" s="85" t="str">
        <x:v>Stable contract</x:v>
      </x:c>
      <x:c r="M14" s="85" t="str">
        <x:v>Branch-owned functional unit; applied to dsp_pms_stg</x:v>
      </x:c>
    </x:row>
    <x:row r="15">
      <x:c r="A15" s="85" t="str">
        <x:v>Department</x:v>
      </x:c>
      <x:c r="B15" s="85" t="str">
        <x:v>DSP Reference Group QA</x:v>
      </x:c>
      <x:c r="C15" s="85" t="str">
        <x:v>DSP India Services Pvt Ltd QA</x:v>
      </x:c>
      <x:c r="D15" s="85" t="str">
        <x:v>Bengaluru Delivery Centre QA</x:v>
      </x:c>
      <x:c r="E15" s="85" t="str">
        <x:v>Administration QA</x:v>
      </x:c>
      <x:c r="F15" s="85" t="str">
        <x:v>Administration QA</x:v>
      </x:c>
      <x:c r="G15" s="85" t="str"/>
      <x:c r="H15" s="85" t="str"/>
      <x:c r="I15" s="85" t="str">
        <x:v>Branch</x:v>
      </x:c>
      <x:c r="J15" s="85" t="str">
        <x:v>N/A</x:v>
      </x:c>
      <x:c r="K15" s="85" t="str"/>
      <x:c r="L15" s="85" t="str">
        <x:v>Stable contract</x:v>
      </x:c>
      <x:c r="M15" s="85" t="str">
        <x:v>Branch-owned functional unit; applied to dsp_pms_stg</x:v>
      </x:c>
    </x:row>
    <x:row r="16">
      <x:c r="A16" s="85" t="str">
        <x:v>Department</x:v>
      </x:c>
      <x:c r="B16" s="85" t="str">
        <x:v>DSP Reference Group QA</x:v>
      </x:c>
      <x:c r="C16" s="85" t="str">
        <x:v>DSP India Services Pvt Ltd QA</x:v>
      </x:c>
      <x:c r="D16" s="85" t="str">
        <x:v>Bengaluru Delivery Centre QA</x:v>
      </x:c>
      <x:c r="E16" s="85" t="str">
        <x:v>Projects QA</x:v>
      </x:c>
      <x:c r="F16" s="85" t="str">
        <x:v>Projects QA</x:v>
      </x:c>
      <x:c r="G16" s="85" t="str"/>
      <x:c r="H16" s="85" t="str"/>
      <x:c r="I16" s="85" t="str">
        <x:v>Branch</x:v>
      </x:c>
      <x:c r="J16" s="85" t="str">
        <x:v>N/A</x:v>
      </x:c>
      <x:c r="K16" s="85" t="str"/>
      <x:c r="L16" s="85" t="str">
        <x:v>Stable contract</x:v>
      </x:c>
      <x:c r="M16" s="85" t="str">
        <x:v>Branch-owned functional unit; applied to dsp_pms_stg</x:v>
      </x:c>
    </x:row>
    <x:row r="17">
      <x:c r="A17" s="85" t="str">
        <x:v>Department</x:v>
      </x:c>
      <x:c r="B17" s="85" t="str">
        <x:v>DSP Reference Group QA</x:v>
      </x:c>
      <x:c r="C17" s="85" t="str">
        <x:v>DSP India Services Pvt Ltd QA</x:v>
      </x:c>
      <x:c r="D17" s="85" t="str">
        <x:v>Bengaluru Delivery Centre QA</x:v>
      </x:c>
      <x:c r="E17" s="85" t="str">
        <x:v>Engineering QA</x:v>
      </x:c>
      <x:c r="F17" s="85" t="str">
        <x:v>Engineering QA</x:v>
      </x:c>
      <x:c r="G17" s="85" t="str"/>
      <x:c r="H17" s="85" t="str"/>
      <x:c r="I17" s="85" t="str">
        <x:v>Branch</x:v>
      </x:c>
      <x:c r="J17" s="85" t="str">
        <x:v>N/A</x:v>
      </x:c>
      <x:c r="K17" s="85" t="str"/>
      <x:c r="L17" s="85" t="str">
        <x:v>Stable contract</x:v>
      </x:c>
      <x:c r="M17" s="85" t="str">
        <x:v>Branch-owned functional unit; applied to dsp_pms_stg</x:v>
      </x:c>
    </x:row>
    <x:row r="18">
      <x:c r="A18" s="85" t="str">
        <x:v>Department</x:v>
      </x:c>
      <x:c r="B18" s="85" t="str">
        <x:v>DSP Reference Group QA</x:v>
      </x:c>
      <x:c r="C18" s="85" t="str">
        <x:v>DSP India Services Pvt Ltd QA</x:v>
      </x:c>
      <x:c r="D18" s="85" t="str">
        <x:v>Mumbai Client Services QA</x:v>
      </x:c>
      <x:c r="E18" s="85" t="str">
        <x:v>Administration QA</x:v>
      </x:c>
      <x:c r="F18" s="85" t="str">
        <x:v>Administration QA</x:v>
      </x:c>
      <x:c r="G18" s="85" t="str"/>
      <x:c r="H18" s="85" t="str"/>
      <x:c r="I18" s="85" t="str">
        <x:v>Branch</x:v>
      </x:c>
      <x:c r="J18" s="85" t="str">
        <x:v>N/A</x:v>
      </x:c>
      <x:c r="K18" s="85" t="str"/>
      <x:c r="L18" s="85" t="str">
        <x:v>Stable contract</x:v>
      </x:c>
      <x:c r="M18" s="85" t="str">
        <x:v>Branch-owned functional unit; applied to dsp_pms_stg</x:v>
      </x:c>
    </x:row>
    <x:row r="19">
      <x:c r="A19" s="85" t="str">
        <x:v>Department</x:v>
      </x:c>
      <x:c r="B19" s="85" t="str">
        <x:v>DSP Reference Group QA</x:v>
      </x:c>
      <x:c r="C19" s="85" t="str">
        <x:v>DSP India Services Pvt Ltd QA</x:v>
      </x:c>
      <x:c r="D19" s="85" t="str">
        <x:v>Mumbai Client Services QA</x:v>
      </x:c>
      <x:c r="E19" s="85" t="str">
        <x:v>Client Services QA</x:v>
      </x:c>
      <x:c r="F19" s="85" t="str">
        <x:v>Client Services QA</x:v>
      </x:c>
      <x:c r="G19" s="85" t="str"/>
      <x:c r="H19" s="85" t="str"/>
      <x:c r="I19" s="85" t="str">
        <x:v>Branch</x:v>
      </x:c>
      <x:c r="J19" s="85" t="str">
        <x:v>N/A</x:v>
      </x:c>
      <x:c r="K19" s="85" t="str"/>
      <x:c r="L19" s="85" t="str">
        <x:v>Stable contract</x:v>
      </x:c>
      <x:c r="M19" s="85" t="str">
        <x:v>Branch-owned functional unit; applied to dsp_pms_stg</x:v>
      </x:c>
    </x:row>
    <x:row r="20">
      <x:c r="A20" s="85" t="str">
        <x:v>Department</x:v>
      </x:c>
      <x:c r="B20" s="85" t="str">
        <x:v>DSP Reference Group QA</x:v>
      </x:c>
      <x:c r="C20" s="85" t="str">
        <x:v>DSP India Services Pvt Ltd QA</x:v>
      </x:c>
      <x:c r="D20" s="85" t="str">
        <x:v>Mumbai Client Services QA</x:v>
      </x:c>
      <x:c r="E20" s="85" t="str">
        <x:v>Finance QA</x:v>
      </x:c>
      <x:c r="F20" s="85" t="str">
        <x:v>Finance QA</x:v>
      </x:c>
      <x:c r="G20" s="85" t="str"/>
      <x:c r="H20" s="85" t="str"/>
      <x:c r="I20" s="85" t="str">
        <x:v>Branch</x:v>
      </x:c>
      <x:c r="J20" s="85" t="str">
        <x:v>N/A</x:v>
      </x:c>
      <x:c r="K20" s="85" t="str"/>
      <x:c r="L20" s="85" t="str">
        <x:v>Stable contract</x:v>
      </x:c>
      <x:c r="M20" s="85" t="str">
        <x:v>Branch-owned functional unit; applied to dsp_pms_stg</x:v>
      </x:c>
    </x:row>
    <x:row r="21">
      <x:c r="A21" s="85" t="str">
        <x:v>Department</x:v>
      </x:c>
      <x:c r="B21" s="85" t="str">
        <x:v>DSP Reference Group QA</x:v>
      </x:c>
      <x:c r="C21" s="85" t="str">
        <x:v>DSP UAE Services LLC QA</x:v>
      </x:c>
      <x:c r="D21" s="85" t="str">
        <x:v>Dubai Headquarters QA</x:v>
      </x:c>
      <x:c r="E21" s="85" t="str">
        <x:v>Administration QA</x:v>
      </x:c>
      <x:c r="F21" s="85" t="str">
        <x:v>Administration QA</x:v>
      </x:c>
      <x:c r="G21" s="85" t="str"/>
      <x:c r="H21" s="85" t="str"/>
      <x:c r="I21" s="85" t="str">
        <x:v>Branch</x:v>
      </x:c>
      <x:c r="J21" s="85" t="str">
        <x:v>N/A</x:v>
      </x:c>
      <x:c r="K21" s="85" t="str"/>
      <x:c r="L21" s="85" t="str">
        <x:v>Stable contract</x:v>
      </x:c>
      <x:c r="M21" s="85" t="str">
        <x:v>Branch-owned functional unit; applied to dsp_pms_stg</x:v>
      </x:c>
    </x:row>
    <x:row r="22">
      <x:c r="A22" s="85" t="str">
        <x:v>Department</x:v>
      </x:c>
      <x:c r="B22" s="85" t="str">
        <x:v>DSP Reference Group QA</x:v>
      </x:c>
      <x:c r="C22" s="85" t="str">
        <x:v>DSP UAE Services LLC QA</x:v>
      </x:c>
      <x:c r="D22" s="85" t="str">
        <x:v>Dubai Headquarters QA</x:v>
      </x:c>
      <x:c r="E22" s="85" t="str">
        <x:v>Human Resources QA</x:v>
      </x:c>
      <x:c r="F22" s="85" t="str">
        <x:v>Human Resources QA</x:v>
      </x:c>
      <x:c r="G22" s="85" t="str"/>
      <x:c r="H22" s="85" t="str"/>
      <x:c r="I22" s="85" t="str">
        <x:v>Branch</x:v>
      </x:c>
      <x:c r="J22" s="85" t="str">
        <x:v>N/A</x:v>
      </x:c>
      <x:c r="K22" s="85" t="str"/>
      <x:c r="L22" s="85" t="str">
        <x:v>Stable contract</x:v>
      </x:c>
      <x:c r="M22" s="85" t="str">
        <x:v>Branch-owned functional unit; applied to dsp_pms_stg</x:v>
      </x:c>
    </x:row>
    <x:row r="23">
      <x:c r="A23" s="85" t="str">
        <x:v>Department</x:v>
      </x:c>
      <x:c r="B23" s="85" t="str">
        <x:v>DSP Reference Group QA</x:v>
      </x:c>
      <x:c r="C23" s="85" t="str">
        <x:v>DSP UAE Services LLC QA</x:v>
      </x:c>
      <x:c r="D23" s="85" t="str">
        <x:v>Dubai Headquarters QA</x:v>
      </x:c>
      <x:c r="E23" s="85" t="str">
        <x:v>Finance QA</x:v>
      </x:c>
      <x:c r="F23" s="85" t="str">
        <x:v>Finance QA</x:v>
      </x:c>
      <x:c r="G23" s="85" t="str"/>
      <x:c r="H23" s="85" t="str"/>
      <x:c r="I23" s="85" t="str">
        <x:v>Branch</x:v>
      </x:c>
      <x:c r="J23" s="85" t="str">
        <x:v>N/A</x:v>
      </x:c>
      <x:c r="K23" s="85" t="str"/>
      <x:c r="L23" s="85" t="str">
        <x:v>Stable contract</x:v>
      </x:c>
      <x:c r="M23" s="85" t="str">
        <x:v>Branch-owned functional unit; applied to dsp_pms_stg</x:v>
      </x:c>
    </x:row>
    <x:row r="24">
      <x:c r="A24" s="85" t="str">
        <x:v>Department</x:v>
      </x:c>
      <x:c r="B24" s="85" t="str">
        <x:v>DSP Reference Group QA</x:v>
      </x:c>
      <x:c r="C24" s="85" t="str">
        <x:v>DSP UAE Services LLC QA</x:v>
      </x:c>
      <x:c r="D24" s="85" t="str">
        <x:v>Dubai Headquarters QA</x:v>
      </x:c>
      <x:c r="E24" s="85" t="str">
        <x:v>IT &amp; Assets QA</x:v>
      </x:c>
      <x:c r="F24" s="85" t="str">
        <x:v>IT &amp; Assets QA</x:v>
      </x:c>
      <x:c r="G24" s="85" t="str"/>
      <x:c r="H24" s="85" t="str"/>
      <x:c r="I24" s="85" t="str">
        <x:v>Branch</x:v>
      </x:c>
      <x:c r="J24" s="85" t="str">
        <x:v>N/A</x:v>
      </x:c>
      <x:c r="K24" s="85" t="str"/>
      <x:c r="L24" s="85" t="str">
        <x:v>Stable contract</x:v>
      </x:c>
      <x:c r="M24" s="85" t="str">
        <x:v>Branch-owned functional unit; applied to dsp_pms_stg</x:v>
      </x:c>
    </x:row>
    <x:row r="25">
      <x:c r="A25" s="85" t="str">
        <x:v>Department</x:v>
      </x:c>
      <x:c r="B25" s="85" t="str">
        <x:v>DSP Reference Group QA</x:v>
      </x:c>
      <x:c r="C25" s="85" t="str">
        <x:v>DSP UAE Services LLC QA</x:v>
      </x:c>
      <x:c r="D25" s="85" t="str">
        <x:v>Dubai Headquarters QA</x:v>
      </x:c>
      <x:c r="E25" s="85" t="str">
        <x:v>Projects QA</x:v>
      </x:c>
      <x:c r="F25" s="85" t="str">
        <x:v>Projects QA</x:v>
      </x:c>
      <x:c r="G25" s="85" t="str"/>
      <x:c r="H25" s="85" t="str"/>
      <x:c r="I25" s="85" t="str">
        <x:v>Branch</x:v>
      </x:c>
      <x:c r="J25" s="85" t="str">
        <x:v>N/A</x:v>
      </x:c>
      <x:c r="K25" s="85" t="str"/>
      <x:c r="L25" s="85" t="str">
        <x:v>Stable contract</x:v>
      </x:c>
      <x:c r="M25" s="85" t="str">
        <x:v>Branch-owned functional unit; applied to dsp_pms_stg</x:v>
      </x:c>
    </x:row>
    <x:row r="26">
      <x:c r="A26" s="85" t="str">
        <x:v>Department</x:v>
      </x:c>
      <x:c r="B26" s="85" t="str">
        <x:v>DSP Reference Group QA</x:v>
      </x:c>
      <x:c r="C26" s="85" t="str">
        <x:v>DSP UAE Services LLC QA</x:v>
      </x:c>
      <x:c r="D26" s="85" t="str">
        <x:v>Abu Dhabi Operations QA</x:v>
      </x:c>
      <x:c r="E26" s="85" t="str">
        <x:v>Administration QA</x:v>
      </x:c>
      <x:c r="F26" s="85" t="str">
        <x:v>Administration QA</x:v>
      </x:c>
      <x:c r="G26" s="85" t="str"/>
      <x:c r="H26" s="85" t="str"/>
      <x:c r="I26" s="85" t="str">
        <x:v>Branch</x:v>
      </x:c>
      <x:c r="J26" s="85" t="str">
        <x:v>N/A</x:v>
      </x:c>
      <x:c r="K26" s="85" t="str"/>
      <x:c r="L26" s="85" t="str">
        <x:v>Stable contract</x:v>
      </x:c>
      <x:c r="M26" s="85" t="str">
        <x:v>Branch-owned functional unit; applied to dsp_pms_stg</x:v>
      </x:c>
    </x:row>
    <x:row r="27">
      <x:c r="A27" s="85" t="str">
        <x:v>Department</x:v>
      </x:c>
      <x:c r="B27" s="85" t="str">
        <x:v>DSP Reference Group QA</x:v>
      </x:c>
      <x:c r="C27" s="85" t="str">
        <x:v>DSP UAE Services LLC QA</x:v>
      </x:c>
      <x:c r="D27" s="85" t="str">
        <x:v>Abu Dhabi Operations QA</x:v>
      </x:c>
      <x:c r="E27" s="85" t="str">
        <x:v>Projects QA</x:v>
      </x:c>
      <x:c r="F27" s="85" t="str">
        <x:v>Projects QA</x:v>
      </x:c>
      <x:c r="G27" s="85" t="str"/>
      <x:c r="H27" s="85" t="str"/>
      <x:c r="I27" s="85" t="str">
        <x:v>Branch</x:v>
      </x:c>
      <x:c r="J27" s="85" t="str">
        <x:v>N/A</x:v>
      </x:c>
      <x:c r="K27" s="85" t="str"/>
      <x:c r="L27" s="85" t="str">
        <x:v>Stable contract</x:v>
      </x:c>
      <x:c r="M27" s="85" t="str">
        <x:v>Branch-owned functional unit; applied to dsp_pms_stg</x:v>
      </x:c>
    </x:row>
    <x:row r="28">
      <x:c r="A28" s="85" t="str">
        <x:v>Department</x:v>
      </x:c>
      <x:c r="B28" s="85" t="str">
        <x:v>DSP Reference Group QA</x:v>
      </x:c>
      <x:c r="C28" s="85" t="str">
        <x:v>DSP UAE Services LLC QA</x:v>
      </x:c>
      <x:c r="D28" s="85" t="str">
        <x:v>Abu Dhabi Operations QA</x:v>
      </x:c>
      <x:c r="E28" s="85" t="str">
        <x:v>Engineering QA</x:v>
      </x:c>
      <x:c r="F28" s="85" t="str">
        <x:v>Engineering QA</x:v>
      </x:c>
      <x:c r="G28" s="85" t="str"/>
      <x:c r="H28" s="85" t="str"/>
      <x:c r="I28" s="85" t="str">
        <x:v>Branch</x:v>
      </x:c>
      <x:c r="J28" s="85" t="str">
        <x:v>N/A</x:v>
      </x:c>
      <x:c r="K28" s="85" t="str"/>
      <x:c r="L28" s="85" t="str">
        <x:v>Stable contract</x:v>
      </x:c>
      <x:c r="M28" s="85" t="str">
        <x:v>Branch-owned functional unit; applied to dsp_pms_stg</x:v>
      </x:c>
    </x:row>
    <x:row r="29">
      <x:c r="A29" s="85" t="str">
        <x:v>Department</x:v>
      </x:c>
      <x:c r="B29" s="85" t="str">
        <x:v>DSP Isolation Group QA</x:v>
      </x:c>
      <x:c r="C29" s="85" t="str">
        <x:v>DSP Isolation Company QA</x:v>
      </x:c>
      <x:c r="D29" s="85" t="str">
        <x:v>Isolation Branch QA</x:v>
      </x:c>
      <x:c r="E29" s="85" t="str">
        <x:v>Human Resources QA</x:v>
      </x:c>
      <x:c r="F29" s="85" t="str">
        <x:v>Human Resources QA</x:v>
      </x:c>
      <x:c r="G29" s="85" t="str"/>
      <x:c r="H29" s="85" t="str"/>
      <x:c r="I29" s="85" t="str">
        <x:v>Branch</x:v>
      </x:c>
      <x:c r="J29" s="85" t="str">
        <x:v>N/A</x:v>
      </x:c>
      <x:c r="K29" s="85" t="str"/>
      <x:c r="L29" s="85" t="str">
        <x:v>Stable contract</x:v>
      </x:c>
      <x:c r="M29" s="85" t="str">
        <x:v>Branch-owned functional unit; applied to dsp_pms_stg</x:v>
      </x:c>
    </x:row>
    <x:row r="30">
      <x:c r="A30" s="85" t="str">
        <x:v>Department</x:v>
      </x:c>
      <x:c r="B30" s="85" t="str">
        <x:v>DSP Isolation Group QA</x:v>
      </x:c>
      <x:c r="C30" s="85" t="str">
        <x:v>DSP Isolation Company QA</x:v>
      </x:c>
      <x:c r="D30" s="85" t="str">
        <x:v>Isolation Branch QA</x:v>
      </x:c>
      <x:c r="E30" s="85" t="str">
        <x:v>Engineering QA</x:v>
      </x:c>
      <x:c r="F30" s="85" t="str">
        <x:v>Engineering QA</x:v>
      </x:c>
      <x:c r="G30" s="85" t="str"/>
      <x:c r="H30" s="85" t="str"/>
      <x:c r="I30" s="85" t="str">
        <x:v>Branch</x:v>
      </x:c>
      <x:c r="J30" s="85" t="str">
        <x:v>N/A</x:v>
      </x:c>
      <x:c r="K30" s="85" t="str"/>
      <x:c r="L30" s="85" t="str">
        <x:v>Stable contract</x:v>
      </x:c>
      <x:c r="M30" s="85" t="str">
        <x:v>Branch-owned functional unit; applied to dsp_pms_stg</x:v>
      </x:c>
    </x:row>
    <x:row r="31">
      <x:c r="A31" s="85" t="str">
        <x:v>Persona</x:v>
      </x:c>
      <x:c r="B31" s="85" t="str"/>
      <x:c r="C31" s="85" t="str"/>
      <x:c r="D31" s="85" t="str"/>
      <x:c r="E31" s="85" t="str">
        <x:v>Platform Super Administrator</x:v>
      </x:c>
      <x:c r="F31" s="85" t="str"/>
      <x:c r="G31" s="85" t="str"/>
      <x:c r="H31" s="85" t="str">
        <x:v>Super Administrator</x:v>
      </x:c>
      <x:c r="I31" s="85" t="str">
        <x:v>Global</x:v>
      </x:c>
      <x:c r="J31" s="85" t="str">
        <x:v>Yes</x:v>
      </x:c>
      <x:c r="K31" s="85" t="str"/>
      <x:c r="L31" s="85" t="str">
        <x:v>Stable contract</x:v>
      </x:c>
      <x:c r="M31" s="85" t="str">
        <x:v>User identity without an Employee record; applied to dsp_pms_stg; credential secret excluded from evidence</x:v>
      </x:c>
    </x:row>
    <x:row r="32">
      <x:c r="A32" s="85" t="str">
        <x:v>Persona</x:v>
      </x:c>
      <x:c r="B32" s="85" t="str">
        <x:v>DSP Reference Group QA</x:v>
      </x:c>
      <x:c r="C32" s="85" t="str">
        <x:v>DSP India Services Pvt Ltd QA</x:v>
      </x:c>
      <x:c r="D32" s="85" t="str">
        <x:v>Kochi Headquarters QA</x:v>
      </x:c>
      <x:c r="E32" s="85" t="str">
        <x:v>India Organization Owner</x:v>
      </x:c>
      <x:c r="F32" s="85" t="str">
        <x:v>Administration QA</x:v>
      </x:c>
      <x:c r="G32" s="85" t="str">
        <x:v>Managing Director</x:v>
      </x:c>
      <x:c r="H32" s="85" t="str">
        <x:v>Organization Owner</x:v>
      </x:c>
      <x:c r="I32" s="85" t="str">
        <x:v>Company Group</x:v>
      </x:c>
      <x:c r="J32" s="85" t="str">
        <x:v>Yes</x:v>
      </x:c>
      <x:c r="K32" s="85" t="str"/>
      <x:c r="L32" s="85" t="str">
        <x:v>Stable contract</x:v>
      </x:c>
      <x:c r="M32" s="85" t="str">
        <x:v>Owns India/UAE switch; applied to dsp_pms_stg; credential secret excluded from evidence</x:v>
      </x:c>
    </x:row>
    <x:row r="33">
      <x:c r="A33" s="85" t="str">
        <x:v>Persona</x:v>
      </x:c>
      <x:c r="B33" s="85" t="str">
        <x:v>DSP Reference Group QA</x:v>
      </x:c>
      <x:c r="C33" s="85" t="str">
        <x:v>DSP India Services Pvt Ltd QA</x:v>
      </x:c>
      <x:c r="D33" s="85" t="str">
        <x:v>Kochi Headquarters QA</x:v>
      </x:c>
      <x:c r="E33" s="85" t="str">
        <x:v>India Company Administrator</x:v>
      </x:c>
      <x:c r="F33" s="85" t="str">
        <x:v>Administration QA</x:v>
      </x:c>
      <x:c r="G33" s="85" t="str">
        <x:v>Administration Executive</x:v>
      </x:c>
      <x:c r="H33" s="85" t="str">
        <x:v>Company Administrator</x:v>
      </x:c>
      <x:c r="I33" s="85" t="str">
        <x:v>Company</x:v>
      </x:c>
      <x:c r="J33" s="85" t="str">
        <x:v>Yes</x:v>
      </x:c>
      <x:c r="K33" s="85" t="str">
        <x:v>India Organization Owner</x:v>
      </x:c>
      <x:c r="L33" s="85" t="str">
        <x:v>Stable contract</x:v>
      </x:c>
      <x:c r="M33" s="85" t="str">
        <x:v>Company setup; applied to dsp_pms_stg; credential secret excluded from evidence</x:v>
      </x:c>
    </x:row>
    <x:row r="34">
      <x:c r="A34" s="85" t="str">
        <x:v>Persona</x:v>
      </x:c>
      <x:c r="B34" s="85" t="str">
        <x:v>DSP Reference Group QA</x:v>
      </x:c>
      <x:c r="C34" s="85" t="str">
        <x:v>DSP India Services Pvt Ltd QA</x:v>
      </x:c>
      <x:c r="D34" s="85" t="str">
        <x:v>Kochi Headquarters QA</x:v>
      </x:c>
      <x:c r="E34" s="85" t="str">
        <x:v>India HR Manager</x:v>
      </x:c>
      <x:c r="F34" s="85" t="str">
        <x:v>Human Resources QA</x:v>
      </x:c>
      <x:c r="G34" s="85" t="str">
        <x:v>HR Manager</x:v>
      </x:c>
      <x:c r="H34" s="85" t="str">
        <x:v>HR Manager</x:v>
      </x:c>
      <x:c r="I34" s="85" t="str">
        <x:v>Company</x:v>
      </x:c>
      <x:c r="J34" s="85" t="str">
        <x:v>Yes</x:v>
      </x:c>
      <x:c r="K34" s="85" t="str">
        <x:v>India Organization Owner</x:v>
      </x:c>
      <x:c r="L34" s="85" t="str">
        <x:v>Stable contract</x:v>
      </x:c>
      <x:c r="M34" s="85" t="str">
        <x:v>HR second approver; applied to dsp_pms_stg; credential secret excluded from evidence</x:v>
      </x:c>
    </x:row>
    <x:row r="35">
      <x:c r="A35" s="85" t="str">
        <x:v>Persona</x:v>
      </x:c>
      <x:c r="B35" s="85" t="str">
        <x:v>DSP Reference Group QA</x:v>
      </x:c>
      <x:c r="C35" s="85" t="str">
        <x:v>DSP India Services Pvt Ltd QA</x:v>
      </x:c>
      <x:c r="D35" s="85" t="str">
        <x:v>Kochi Headquarters QA</x:v>
      </x:c>
      <x:c r="E35" s="85" t="str">
        <x:v>India Recruiter</x:v>
      </x:c>
      <x:c r="F35" s="85" t="str">
        <x:v>Human Resources QA</x:v>
      </x:c>
      <x:c r="G35" s="85" t="str">
        <x:v>Recruiter</x:v>
      </x:c>
      <x:c r="H35" s="85" t="str">
        <x:v>HR Manager</x:v>
      </x:c>
      <x:c r="I35" s="85" t="str">
        <x:v>Company</x:v>
      </x:c>
      <x:c r="J35" s="85" t="str">
        <x:v>Yes</x:v>
      </x:c>
      <x:c r="K35" s="85" t="str">
        <x:v>India HR Manager</x:v>
      </x:c>
      <x:c r="L35" s="85" t="str">
        <x:v>Stable contract</x:v>
      </x:c>
      <x:c r="M35" s="85" t="str">
        <x:v>Recruitment maker; applied to dsp_pms_stg; credential secret excluded from evidence</x:v>
      </x:c>
    </x:row>
    <x:row r="36">
      <x:c r="A36" s="85" t="str">
        <x:v>Persona</x:v>
      </x:c>
      <x:c r="B36" s="85" t="str">
        <x:v>DSP Reference Group QA</x:v>
      </x:c>
      <x:c r="C36" s="85" t="str">
        <x:v>DSP India Services Pvt Ltd QA</x:v>
      </x:c>
      <x:c r="D36" s="85" t="str">
        <x:v>Kochi Headquarters QA</x:v>
      </x:c>
      <x:c r="E36" s="85" t="str">
        <x:v>India Payroll Maker</x:v>
      </x:c>
      <x:c r="F36" s="85" t="str">
        <x:v>Human Resources QA</x:v>
      </x:c>
      <x:c r="G36" s="85" t="str">
        <x:v>Payroll Specialist</x:v>
      </x:c>
      <x:c r="H36" s="85" t="str">
        <x:v>Payroll Maker</x:v>
      </x:c>
      <x:c r="I36" s="85" t="str">
        <x:v>Company</x:v>
      </x:c>
      <x:c r="J36" s="85" t="str">
        <x:v>Yes</x:v>
      </x:c>
      <x:c r="K36" s="85" t="str">
        <x:v>India HR Manager</x:v>
      </x:c>
      <x:c r="L36" s="85" t="str">
        <x:v>Stable contract</x:v>
      </x:c>
      <x:c r="M36" s="85" t="str">
        <x:v>Payroll maker only; applied to dsp_pms_stg; credential secret excluded from evidence</x:v>
      </x:c>
    </x:row>
    <x:row r="37">
      <x:c r="A37" s="85" t="str">
        <x:v>Persona</x:v>
      </x:c>
      <x:c r="B37" s="85" t="str">
        <x:v>DSP Reference Group QA</x:v>
      </x:c>
      <x:c r="C37" s="85" t="str">
        <x:v>DSP India Services Pvt Ltd QA</x:v>
      </x:c>
      <x:c r="D37" s="85" t="str">
        <x:v>Kochi Headquarters QA</x:v>
      </x:c>
      <x:c r="E37" s="85" t="str">
        <x:v>India Engineering Manager</x:v>
      </x:c>
      <x:c r="F37" s="85" t="str">
        <x:v>Engineering QA</x:v>
      </x:c>
      <x:c r="G37" s="85" t="str">
        <x:v>Engineering Manager</x:v>
      </x:c>
      <x:c r="H37" s="85" t="str">
        <x:v>Employee</x:v>
      </x:c>
      <x:c r="I37" s="85" t="str">
        <x:v>Company</x:v>
      </x:c>
      <x:c r="J37" s="85" t="str">
        <x:v>Yes</x:v>
      </x:c>
      <x:c r="K37" s="85" t="str">
        <x:v>India Organization Owner</x:v>
      </x:c>
      <x:c r="L37" s="85" t="str">
        <x:v>Stable contract</x:v>
      </x:c>
      <x:c r="M37" s="85" t="str">
        <x:v>Hiring/reporting manager; applied to dsp_pms_stg; credential secret excluded from evidence</x:v>
      </x:c>
    </x:row>
    <x:row r="38">
      <x:c r="A38" s="85" t="str">
        <x:v>Persona</x:v>
      </x:c>
      <x:c r="B38" s="85" t="str">
        <x:v>DSP Reference Group QA</x:v>
      </x:c>
      <x:c r="C38" s="85" t="str">
        <x:v>DSP India Services Pvt Ltd QA</x:v>
      </x:c>
      <x:c r="D38" s="85" t="str">
        <x:v>Bengaluru Delivery Centre QA</x:v>
      </x:c>
      <x:c r="E38" s="85" t="str">
        <x:v>India Project Manager</x:v>
      </x:c>
      <x:c r="F38" s="85" t="str">
        <x:v>Projects QA</x:v>
      </x:c>
      <x:c r="G38" s="85" t="str">
        <x:v>Project Manager</x:v>
      </x:c>
      <x:c r="H38" s="85" t="str">
        <x:v>Project Manager</x:v>
      </x:c>
      <x:c r="I38" s="85" t="str">
        <x:v>Company</x:v>
      </x:c>
      <x:c r="J38" s="85" t="str">
        <x:v>Yes</x:v>
      </x:c>
      <x:c r="K38" s="85" t="str">
        <x:v>India Engineering Manager</x:v>
      </x:c>
      <x:c r="L38" s="85" t="str">
        <x:v>Stable contract</x:v>
      </x:c>
      <x:c r="M38" s="85" t="str">
        <x:v>Project/timesheet approval; applied to dsp_pms_stg; credential secret excluded from evidence</x:v>
      </x:c>
    </x:row>
    <x:row r="39">
      <x:c r="A39" s="85" t="str">
        <x:v>Persona</x:v>
      </x:c>
      <x:c r="B39" s="85" t="str">
        <x:v>DSP Reference Group QA</x:v>
      </x:c>
      <x:c r="C39" s="85" t="str">
        <x:v>DSP India Services Pvt Ltd QA</x:v>
      </x:c>
      <x:c r="D39" s="85" t="str">
        <x:v>Kochi Headquarters QA</x:v>
      </x:c>
      <x:c r="E39" s="85" t="str">
        <x:v>India Asset Manager</x:v>
      </x:c>
      <x:c r="F39" s="85" t="str">
        <x:v>IT &amp; Assets QA</x:v>
      </x:c>
      <x:c r="G39" s="85" t="str">
        <x:v>IT and Asset Officer</x:v>
      </x:c>
      <x:c r="H39" s="85" t="str">
        <x:v>Asset Manager</x:v>
      </x:c>
      <x:c r="I39" s="85" t="str">
        <x:v>Company</x:v>
      </x:c>
      <x:c r="J39" s="85" t="str">
        <x:v>Yes</x:v>
      </x:c>
      <x:c r="K39" s="85" t="str">
        <x:v>India Organization Owner</x:v>
      </x:c>
      <x:c r="L39" s="85" t="str">
        <x:v>Stable contract</x:v>
      </x:c>
      <x:c r="M39" s="85" t="str">
        <x:v>Asset custody; applied to dsp_pms_stg; credential secret excluded from evidence</x:v>
      </x:c>
    </x:row>
    <x:row r="40">
      <x:c r="A40" s="85" t="str">
        <x:v>Persona</x:v>
      </x:c>
      <x:c r="B40" s="85" t="str">
        <x:v>DSP Reference Group QA</x:v>
      </x:c>
      <x:c r="C40" s="85" t="str">
        <x:v>DSP India Services Pvt Ltd QA</x:v>
      </x:c>
      <x:c r="D40" s="85" t="str">
        <x:v>Bengaluru Delivery Centre QA</x:v>
      </x:c>
      <x:c r="E40" s="85" t="str">
        <x:v>India Asset Custodian</x:v>
      </x:c>
      <x:c r="F40" s="85" t="str">
        <x:v>Engineering QA</x:v>
      </x:c>
      <x:c r="G40" s="85" t="str">
        <x:v>Software Engineer</x:v>
      </x:c>
      <x:c r="H40" s="85" t="str">
        <x:v>Asset Department Custodian</x:v>
      </x:c>
      <x:c r="I40" s="85" t="str">
        <x:v>Department grant</x:v>
      </x:c>
      <x:c r="J40" s="85" t="str">
        <x:v>Yes</x:v>
      </x:c>
      <x:c r="K40" s="85" t="str">
        <x:v>India Project Manager</x:v>
      </x:c>
      <x:c r="L40" s="85" t="str">
        <x:v>Stable contract</x:v>
      </x:c>
      <x:c r="M40" s="85" t="str">
        <x:v>Explicit Engineering Department grant; applied to dsp_pms_stg; credential secret excluded from evidence</x:v>
      </x:c>
    </x:row>
    <x:row r="41">
      <x:c r="A41" s="85" t="str">
        <x:v>Persona</x:v>
      </x:c>
      <x:c r="B41" s="85" t="str">
        <x:v>DSP Reference Group QA</x:v>
      </x:c>
      <x:c r="C41" s="85" t="str">
        <x:v>DSP India Services Pvt Ltd QA</x:v>
      </x:c>
      <x:c r="D41" s="85" t="str">
        <x:v>Mumbai Client Services QA</x:v>
      </x:c>
      <x:c r="E41" s="85" t="str">
        <x:v>India Finance Maker</x:v>
      </x:c>
      <x:c r="F41" s="85" t="str">
        <x:v>Finance QA</x:v>
      </x:c>
      <x:c r="G41" s="85" t="str">
        <x:v>Finance Officer</x:v>
      </x:c>
      <x:c r="H41" s="85" t="str">
        <x:v>Finance Maker</x:v>
      </x:c>
      <x:c r="I41" s="85" t="str">
        <x:v>Company</x:v>
      </x:c>
      <x:c r="J41" s="85" t="str">
        <x:v>Yes</x:v>
      </x:c>
      <x:c r="K41" s="85" t="str">
        <x:v>India Organization Owner</x:v>
      </x:c>
      <x:c r="L41" s="85" t="str">
        <x:v>Stable contract</x:v>
      </x:c>
      <x:c r="M41" s="85" t="str">
        <x:v>Finance maker only; applied to dsp_pms_stg; credential secret excluded from evidence</x:v>
      </x:c>
    </x:row>
    <x:row r="42">
      <x:c r="A42" s="85" t="str">
        <x:v>Persona</x:v>
      </x:c>
      <x:c r="B42" s="85" t="str">
        <x:v>DSP Reference Group QA</x:v>
      </x:c>
      <x:c r="C42" s="85" t="str">
        <x:v>DSP India Services Pvt Ltd QA</x:v>
      </x:c>
      <x:c r="D42" s="85" t="str">
        <x:v>Kochi Headquarters QA</x:v>
      </x:c>
      <x:c r="E42" s="85" t="str">
        <x:v>India Independent Approver</x:v>
      </x:c>
      <x:c r="F42" s="85" t="str">
        <x:v>Finance QA</x:v>
      </x:c>
      <x:c r="G42" s="85" t="str">
        <x:v>Finance Officer</x:v>
      </x:c>
      <x:c r="H42" s="85" t="str">
        <x:v>Finance Manager</x:v>
      </x:c>
      <x:c r="I42" s="85" t="str">
        <x:v>Company</x:v>
      </x:c>
      <x:c r="J42" s="85" t="str">
        <x:v>Yes</x:v>
      </x:c>
      <x:c r="K42" s="85" t="str">
        <x:v>India Organization Owner</x:v>
      </x:c>
      <x:c r="L42" s="85" t="str">
        <x:v>Stable contract</x:v>
      </x:c>
      <x:c r="M42" s="85" t="str">
        <x:v>Finance/payroll checker; applied to dsp_pms_stg; credential secret excluded from evidence</x:v>
      </x:c>
    </x:row>
    <x:row r="43">
      <x:c r="A43" s="85" t="str">
        <x:v>Persona</x:v>
      </x:c>
      <x:c r="B43" s="85" t="str">
        <x:v>DSP Reference Group QA</x:v>
      </x:c>
      <x:c r="C43" s="85" t="str">
        <x:v>DSP India Services Pvt Ltd QA</x:v>
      </x:c>
      <x:c r="D43" s="85" t="str">
        <x:v>Bengaluru Delivery Centre QA</x:v>
      </x:c>
      <x:c r="E43" s="85" t="str">
        <x:v>India General Employee</x:v>
      </x:c>
      <x:c r="F43" s="85" t="str">
        <x:v>Engineering QA</x:v>
      </x:c>
      <x:c r="G43" s="85" t="str">
        <x:v>Software Engineer</x:v>
      </x:c>
      <x:c r="H43" s="85" t="str">
        <x:v>Employee</x:v>
      </x:c>
      <x:c r="I43" s="85" t="str">
        <x:v>Branch</x:v>
      </x:c>
      <x:c r="J43" s="85" t="str">
        <x:v>Yes</x:v>
      </x:c>
      <x:c r="K43" s="85" t="str">
        <x:v>India Engineering Manager</x:v>
      </x:c>
      <x:c r="L43" s="85" t="str">
        <x:v>Stable contract</x:v>
      </x:c>
      <x:c r="M43" s="85" t="str">
        <x:v>Cross-branch manager case; applied to dsp_pms_stg; credential secret excluded from evidence</x:v>
      </x:c>
    </x:row>
    <x:row r="44">
      <x:c r="A44" s="85" t="str">
        <x:v>Persona</x:v>
      </x:c>
      <x:c r="B44" s="85" t="str">
        <x:v>DSP Reference Group QA</x:v>
      </x:c>
      <x:c r="C44" s="85" t="str">
        <x:v>DSP India Services Pvt Ltd QA</x:v>
      </x:c>
      <x:c r="D44" s="85" t="str">
        <x:v>Mumbai Client Services QA</x:v>
      </x:c>
      <x:c r="E44" s="85" t="str">
        <x:v>India Read-only Auditor</x:v>
      </x:c>
      <x:c r="F44" s="85" t="str">
        <x:v>Client Services QA</x:v>
      </x:c>
      <x:c r="G44" s="85" t="str">
        <x:v>Administration Executive</x:v>
      </x:c>
      <x:c r="H44" s="85" t="str">
        <x:v>Read-only Auditor</x:v>
      </x:c>
      <x:c r="I44" s="85" t="str">
        <x:v>Company</x:v>
      </x:c>
      <x:c r="J44" s="85" t="str">
        <x:v>Yes</x:v>
      </x:c>
      <x:c r="K44" s="85" t="str">
        <x:v>India Organization Owner</x:v>
      </x:c>
      <x:c r="L44" s="85" t="str">
        <x:v>Stable contract</x:v>
      </x:c>
      <x:c r="M44" s="85" t="str">
        <x:v>Read-only denial; applied to dsp_pms_stg; credential secret excluded from evidence</x:v>
      </x:c>
    </x:row>
    <x:row r="45">
      <x:c r="A45" s="85" t="str">
        <x:v>Persona</x:v>
      </x:c>
      <x:c r="B45" s="85" t="str">
        <x:v>DSP Reference Group QA</x:v>
      </x:c>
      <x:c r="C45" s="85" t="str">
        <x:v>DSP India Services Pvt Ltd QA</x:v>
      </x:c>
      <x:c r="D45" s="85" t="str">
        <x:v>Kochi Headquarters QA</x:v>
      </x:c>
      <x:c r="E45" s="85" t="str">
        <x:v>India Disabled Employee</x:v>
      </x:c>
      <x:c r="F45" s="85" t="str">
        <x:v>Engineering QA</x:v>
      </x:c>
      <x:c r="G45" s="85" t="str">
        <x:v>Software Engineer</x:v>
      </x:c>
      <x:c r="H45" s="85" t="str">
        <x:v>Employee</x:v>
      </x:c>
      <x:c r="I45" s="85" t="str">
        <x:v>Branch</x:v>
      </x:c>
      <x:c r="J45" s="85" t="str">
        <x:v>Disabled</x:v>
      </x:c>
      <x:c r="K45" s="85" t="str">
        <x:v>India Engineering Manager</x:v>
      </x:c>
      <x:c r="L45" s="85" t="str">
        <x:v>Stable contract</x:v>
      </x:c>
      <x:c r="M45" s="85" t="str">
        <x:v>Disabled User and session-denial case; applied to dsp_pms_stg; credential secret excluded from evidence</x:v>
      </x:c>
    </x:row>
    <x:row r="46">
      <x:c r="A46" s="85" t="str">
        <x:v>Persona</x:v>
      </x:c>
      <x:c r="B46" s="85" t="str">
        <x:v>DSP Reference Group QA</x:v>
      </x:c>
      <x:c r="C46" s="85" t="str">
        <x:v>DSP India Services Pvt Ltd QA</x:v>
      </x:c>
      <x:c r="D46" s="85" t="str">
        <x:v>Bengaluru Delivery Centre QA</x:v>
      </x:c>
      <x:c r="E46" s="85" t="str">
        <x:v>India Employee Without Login</x:v>
      </x:c>
      <x:c r="F46" s="85" t="str">
        <x:v>Engineering QA</x:v>
      </x:c>
      <x:c r="G46" s="85" t="str">
        <x:v>Software Engineer</x:v>
      </x:c>
      <x:c r="H46" s="85" t="str"/>
      <x:c r="I46" s="85" t="str">
        <x:v>None</x:v>
      </x:c>
      <x:c r="J46" s="85" t="str">
        <x:v>No</x:v>
      </x:c>
      <x:c r="K46" s="85" t="str">
        <x:v>India Engineering Manager</x:v>
      </x:c>
      <x:c r="L46" s="85" t="str">
        <x:v>Stable contract</x:v>
      </x:c>
      <x:c r="M46" s="85" t="str">
        <x:v>Employee-only record; applied to dsp_pms_stg; credential secret excluded from evidence</x:v>
      </x:c>
    </x:row>
    <x:row r="47">
      <x:c r="A47" s="85" t="str">
        <x:v>Persona</x:v>
      </x:c>
      <x:c r="B47" s="85" t="str">
        <x:v>DSP Reference Group QA</x:v>
      </x:c>
      <x:c r="C47" s="85" t="str">
        <x:v>DSP UAE Services LLC QA</x:v>
      </x:c>
      <x:c r="D47" s="85" t="str">
        <x:v>Dubai Headquarters QA</x:v>
      </x:c>
      <x:c r="E47" s="85" t="str">
        <x:v>UAE Company Administrator and HR</x:v>
      </x:c>
      <x:c r="F47" s="85" t="str">
        <x:v>Human Resources QA</x:v>
      </x:c>
      <x:c r="G47" s="85" t="str">
        <x:v>HR Manager</x:v>
      </x:c>
      <x:c r="H47" s="85" t="str">
        <x:v>Company Administrator + HR Manager</x:v>
      </x:c>
      <x:c r="I47" s="85" t="str">
        <x:v>Company</x:v>
      </x:c>
      <x:c r="J47" s="85" t="str">
        <x:v>Yes</x:v>
      </x:c>
      <x:c r="K47" s="85" t="str"/>
      <x:c r="L47" s="85" t="str">
        <x:v>Stable contract</x:v>
      </x:c>
      <x:c r="M47" s="85" t="str">
        <x:v>UAE setup/HR; applied to dsp_pms_stg; credential secret excluded from evidence</x:v>
      </x:c>
    </x:row>
    <x:row r="48">
      <x:c r="A48" s="85" t="str">
        <x:v>Persona</x:v>
      </x:c>
      <x:c r="B48" s="85" t="str">
        <x:v>DSP Reference Group QA</x:v>
      </x:c>
      <x:c r="C48" s="85" t="str">
        <x:v>DSP UAE Services LLC QA</x:v>
      </x:c>
      <x:c r="D48" s="85" t="str">
        <x:v>Dubai Headquarters QA</x:v>
      </x:c>
      <x:c r="E48" s="85" t="str">
        <x:v>UAE Reporting and Project Manager</x:v>
      </x:c>
      <x:c r="F48" s="85" t="str">
        <x:v>Projects QA</x:v>
      </x:c>
      <x:c r="G48" s="85" t="str">
        <x:v>Project Manager</x:v>
      </x:c>
      <x:c r="H48" s="85" t="str">
        <x:v>Project Manager</x:v>
      </x:c>
      <x:c r="I48" s="85" t="str">
        <x:v>Company</x:v>
      </x:c>
      <x:c r="J48" s="85" t="str">
        <x:v>Yes</x:v>
      </x:c>
      <x:c r="K48" s="85" t="str">
        <x:v>UAE Company Administrator and HR</x:v>
      </x:c>
      <x:c r="L48" s="85" t="str">
        <x:v>Stable contract</x:v>
      </x:c>
      <x:c r="M48" s="85" t="str">
        <x:v>Cross-branch manager; applied to dsp_pms_stg; credential secret excluded from evidence</x:v>
      </x:c>
    </x:row>
    <x:row r="49">
      <x:c r="A49" s="85" t="str">
        <x:v>Persona</x:v>
      </x:c>
      <x:c r="B49" s="85" t="str">
        <x:v>DSP Reference Group QA</x:v>
      </x:c>
      <x:c r="C49" s="85" t="str">
        <x:v>DSP UAE Services LLC QA</x:v>
      </x:c>
      <x:c r="D49" s="85" t="str">
        <x:v>Dubai Headquarters QA</x:v>
      </x:c>
      <x:c r="E49" s="85" t="str">
        <x:v>UAE Finance Maker</x:v>
      </x:c>
      <x:c r="F49" s="85" t="str">
        <x:v>Finance QA</x:v>
      </x:c>
      <x:c r="G49" s="85" t="str">
        <x:v>Finance Officer</x:v>
      </x:c>
      <x:c r="H49" s="85" t="str">
        <x:v>Finance Maker</x:v>
      </x:c>
      <x:c r="I49" s="85" t="str">
        <x:v>Company</x:v>
      </x:c>
      <x:c r="J49" s="85" t="str">
        <x:v>Yes</x:v>
      </x:c>
      <x:c r="K49" s="85" t="str">
        <x:v>UAE Company Administrator and HR</x:v>
      </x:c>
      <x:c r="L49" s="85" t="str">
        <x:v>Stable contract</x:v>
      </x:c>
      <x:c r="M49" s="85" t="str">
        <x:v>AED maker; applied to dsp_pms_stg; credential secret excluded from evidence</x:v>
      </x:c>
    </x:row>
    <x:row r="50">
      <x:c r="A50" s="85" t="str">
        <x:v>Persona</x:v>
      </x:c>
      <x:c r="B50" s="85" t="str">
        <x:v>DSP Reference Group QA</x:v>
      </x:c>
      <x:c r="C50" s="85" t="str">
        <x:v>DSP UAE Services LLC QA</x:v>
      </x:c>
      <x:c r="D50" s="85" t="str">
        <x:v>Dubai Headquarters QA</x:v>
      </x:c>
      <x:c r="E50" s="85" t="str">
        <x:v>UAE Independent Approver</x:v>
      </x:c>
      <x:c r="F50" s="85" t="str">
        <x:v>Finance QA</x:v>
      </x:c>
      <x:c r="G50" s="85" t="str">
        <x:v>Finance Officer</x:v>
      </x:c>
      <x:c r="H50" s="85" t="str">
        <x:v>Finance Manager</x:v>
      </x:c>
      <x:c r="I50" s="85" t="str">
        <x:v>Company</x:v>
      </x:c>
      <x:c r="J50" s="85" t="str">
        <x:v>Yes</x:v>
      </x:c>
      <x:c r="K50" s="85" t="str">
        <x:v>UAE Company Administrator and HR</x:v>
      </x:c>
      <x:c r="L50" s="85" t="str">
        <x:v>Stable contract</x:v>
      </x:c>
      <x:c r="M50" s="85" t="str">
        <x:v>AED checker; applied to dsp_pms_stg; credential secret excluded from evidence</x:v>
      </x:c>
    </x:row>
    <x:row r="51">
      <x:c r="A51" s="85" t="str">
        <x:v>Persona</x:v>
      </x:c>
      <x:c r="B51" s="85" t="str">
        <x:v>DSP Reference Group QA</x:v>
      </x:c>
      <x:c r="C51" s="85" t="str">
        <x:v>DSP UAE Services LLC QA</x:v>
      </x:c>
      <x:c r="D51" s="85" t="str">
        <x:v>Abu Dhabi Operations QA</x:v>
      </x:c>
      <x:c r="E51" s="85" t="str">
        <x:v>UAE General Employee</x:v>
      </x:c>
      <x:c r="F51" s="85" t="str">
        <x:v>Engineering QA</x:v>
      </x:c>
      <x:c r="G51" s="85" t="str">
        <x:v>Software Engineer</x:v>
      </x:c>
      <x:c r="H51" s="85" t="str">
        <x:v>Employee</x:v>
      </x:c>
      <x:c r="I51" s="85" t="str">
        <x:v>Branch</x:v>
      </x:c>
      <x:c r="J51" s="85" t="str">
        <x:v>Yes</x:v>
      </x:c>
      <x:c r="K51" s="85" t="str">
        <x:v>UAE Reporting and Project Manager</x:v>
      </x:c>
      <x:c r="L51" s="85" t="str">
        <x:v>Stable contract</x:v>
      </x:c>
      <x:c r="M51" s="85" t="str">
        <x:v>Abu Dhabi to Dubai reporting; applied to dsp_pms_stg; credential secret excluded from evidence</x:v>
      </x:c>
    </x:row>
    <x:row r="52">
      <x:c r="A52" s="85" t="str">
        <x:v>Persona</x:v>
      </x:c>
      <x:c r="B52" s="85" t="str">
        <x:v>DSP Isolation Group QA</x:v>
      </x:c>
      <x:c r="C52" s="85" t="str">
        <x:v>DSP Isolation Company QA</x:v>
      </x:c>
      <x:c r="D52" s="85" t="str">
        <x:v>Isolation Branch QA</x:v>
      </x:c>
      <x:c r="E52" s="85" t="str">
        <x:v>Isolation HR Owner</x:v>
      </x:c>
      <x:c r="F52" s="85" t="str">
        <x:v>Human Resources QA</x:v>
      </x:c>
      <x:c r="G52" s="85" t="str">
        <x:v>HR Manager</x:v>
      </x:c>
      <x:c r="H52" s="85" t="str">
        <x:v>Organization Owner + HR Manager</x:v>
      </x:c>
      <x:c r="I52" s="85" t="str">
        <x:v>Company Group</x:v>
      </x:c>
      <x:c r="J52" s="85" t="str">
        <x:v>Yes</x:v>
      </x:c>
      <x:c r="K52" s="85" t="str"/>
      <x:c r="L52" s="85" t="str">
        <x:v>Stable contract</x:v>
      </x:c>
      <x:c r="M52" s="85" t="str">
        <x:v>Isolation actor; applied to dsp_pms_stg; credential secret excluded from evidence</x:v>
      </x:c>
    </x:row>
    <x:row r="53">
      <x:c r="A53" s="85" t="str">
        <x:v>Persona</x:v>
      </x:c>
      <x:c r="B53" s="85" t="str">
        <x:v>DSP Isolation Group QA</x:v>
      </x:c>
      <x:c r="C53" s="85" t="str">
        <x:v>DSP Isolation Company QA</x:v>
      </x:c>
      <x:c r="D53" s="85" t="str">
        <x:v>Isolation Branch QA</x:v>
      </x:c>
      <x:c r="E53" s="85" t="str">
        <x:v>Isolation Employee</x:v>
      </x:c>
      <x:c r="F53" s="85" t="str">
        <x:v>Engineering QA</x:v>
      </x:c>
      <x:c r="G53" s="85" t="str">
        <x:v>Employee</x:v>
      </x:c>
      <x:c r="H53" s="85" t="str">
        <x:v>Employee</x:v>
      </x:c>
      <x:c r="I53" s="85" t="str">
        <x:v>Branch</x:v>
      </x:c>
      <x:c r="J53" s="85" t="str">
        <x:v>Yes</x:v>
      </x:c>
      <x:c r="K53" s="85" t="str">
        <x:v>Isolation HR Owner</x:v>
      </x:c>
      <x:c r="L53" s="85" t="str">
        <x:v>Stable contract</x:v>
      </x:c>
      <x:c r="M53" s="85" t="str">
        <x:v>Direct-ID denial target; applied to dsp_pms_stg; credential secret excluded from evidence</x:v>
      </x:c>
    </x:row>
    <x:row r="54">
      <x:c r="A54" s="86" t="str">
        <x:v>Persona</x:v>
      </x:c>
      <x:c r="B54" s="86" t="str">
        <x:v>DSP Reference Group QA</x:v>
      </x:c>
      <x:c r="C54" s="86" t="str">
        <x:v>DSP India Services Pvt Ltd QA</x:v>
      </x:c>
      <x:c r="D54" s="86" t="str">
        <x:v>Bengaluru Delivery Centre QA</x:v>
      </x:c>
      <x:c r="E54" s="86" t="str">
        <x:v>Golden-thread Joiner</x:v>
      </x:c>
      <x:c r="F54" s="86" t="str">
        <x:v>Engineering QA</x:v>
      </x:c>
      <x:c r="G54" s="86" t="str">
        <x:v>Software Engineer</x:v>
      </x:c>
      <x:c r="H54" s="86" t="str">
        <x:v>Employee</x:v>
      </x:c>
      <x:c r="I54" s="86" t="str">
        <x:v>Branch</x:v>
      </x:c>
      <x:c r="J54" s="86" t="str">
        <x:v>Created in E2E</x:v>
      </x:c>
      <x:c r="K54" s="86" t="str">
        <x:v>India Engineering Manager</x:v>
      </x:c>
      <x:c r="L54" s="86" t="str">
        <x:v>Per run</x:v>
      </x:c>
      <x:c r="M54" s="86" t="str">
        <x:v>Candidate conversion output; E2E not run</x:v>
      </x:c>
    </x:row>
  </x:sheetData>
  <x:pageMargins left="0.7" right="0.7" top="0.75" bottom="0.75" header="0.3" footer="0.3"/>
  <x:tableParts count="1">
    <x:tablePart xmlns:r="http://schemas.openxmlformats.org/officeDocument/2006/relationships" r:id="Rf4a6288f5ce84881"/>
  </x:tableParts>
</x:worksheet>
</file>

<file path=xl/worksheets/sheet12.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8" hidden="0" customWidth="1"/>
    <x:col min="2" max="2" width="22" hidden="0" customWidth="1"/>
    <x:col min="3" max="3" width="42" hidden="0" customWidth="1"/>
    <x:col min="4" max="4" width="12" hidden="0" customWidth="1"/>
    <x:col min="5" max="5" width="48" hidden="0" customWidth="1"/>
    <x:col min="6" max="6" width="26" hidden="0" customWidth="1"/>
    <x:col min="7" max="7" width="42" hidden="0" customWidth="1"/>
    <x:col min="8" max="8" width="28" hidden="0" customWidth="1"/>
  </x:cols>
  <x:sheetData>
    <x:row r="1" ht="24" customHeight="1">
      <x:c r="A1" s="64" t="str">
        <x:v>Navigation Map</x:v>
      </x:c>
      <x:c r="B1" s="63"/>
      <x:c r="C1" s="63"/>
      <x:c r="D1" s="63"/>
      <x:c r="E1" s="63"/>
      <x:c r="F1" s="63"/>
      <x:c r="G1" s="63"/>
      <x:c r="H1" s="63"/>
    </x:row>
    <x:row r="2" ht="18" customHeight="1">
      <x:c r="A2" s="65" t="str">
        <x:v>Task-first information architecture</x:v>
      </x:c>
    </x:row>
    <x:row r="3" ht="18" customHeight="1">
      <x:c r="A3" s="66" t="str">
        <x:v>One tree filtered by permissions/capabilities; two levels; existing URLs preserved.</x:v>
      </x:c>
    </x:row>
    <x:row r="5" ht="32" customHeight="1">
      <x:c r="A5" s="78" t="str">
        <x:v>Order</x:v>
      </x:c>
      <x:c r="B5" s="79" t="str">
        <x:v>Area</x:v>
      </x:c>
      <x:c r="C5" s="79" t="str">
        <x:v>Purpose</x:v>
      </x:c>
      <x:c r="D5" s="79" t="str">
        <x:v>Route count</x:v>
      </x:c>
      <x:c r="E5" s="79" t="str">
        <x:v>Representative routes</x:v>
      </x:c>
      <x:c r="F5" s="79" t="str">
        <x:v>Audience</x:v>
      </x:c>
      <x:c r="G5" s="79" t="str">
        <x:v>Standard</x:v>
      </x:c>
      <x:c r="H5" s="80" t="str">
        <x:v>Implementation</x:v>
      </x:c>
    </x:row>
    <x:row r="6">
      <x:c r="A6" s="84" t="n">
        <x:v>1</x:v>
      </x:c>
      <x:c r="B6" s="84" t="str">
        <x:v>Dashboard</x:v>
      </x:c>
      <x:c r="C6" s="84" t="str">
        <x:v>Cross-module status and actions requiring attention.</x:v>
      </x:c>
      <x:c r="D6" s="84" t="n">
        <x:v>1</x:v>
      </x:c>
      <x:c r="E6" s="84" t="str">
        <x:v>/dashboard</x:v>
      </x:c>
      <x:c r="F6" s="84" t="str">
        <x:v>Permission and capability filtered</x:v>
      </x:c>
      <x:c r="G6" s="84" t="str">
        <x:v>One shared tree; maximum two interaction levels; existing URLs preserved.</x:v>
      </x:c>
      <x:c r="H6" s="84" t="str">
        <x:v>Implemented; 69 configured routes (69 auditable, 0 planned) structurally/unit verified; historical authenticated smoke: 59 passed; 0 failed; 3 skipped (62 total); 1 added route requires browser audit; menu-by-menu execution remains Not Run</x:v>
      </x:c>
    </x:row>
    <x:row r="7">
      <x:c r="A7" s="85" t="n">
        <x:v>2</x:v>
      </x:c>
      <x:c r="B7" s="85" t="str">
        <x:v>My Work</x:v>
      </x:c>
      <x:c r="C7" s="85" t="str">
        <x:v>Employee-owned daily tasks, requests, projects and timesheets.</x:v>
      </x:c>
      <x:c r="D7" s="85" t="n">
        <x:v>8</x:v>
      </x:c>
      <x:c r="E7" s="85" t="str">
        <x:v>/my-workspace, /my-workspace/approvals, /my-workspace/calendar, /my-workspace/hr-requests</x:v>
      </x:c>
      <x:c r="F7" s="85" t="str">
        <x:v>Permission and capability filtered</x:v>
      </x:c>
      <x:c r="G7" s="85" t="str">
        <x:v>One shared tree; maximum two interaction levels; existing URLs preserved.</x:v>
      </x:c>
      <x:c r="H7" s="85" t="str">
        <x:v>Implemented; 69 configured routes (69 auditable, 0 planned) structurally/unit verified; historical authenticated smoke: 59 passed; 0 failed; 3 skipped (62 total); 1 added route requires browser audit; menu-by-menu execution remains Not Run</x:v>
      </x:c>
    </x:row>
    <x:row r="8">
      <x:c r="A8" s="85" t="n">
        <x:v>3</x:v>
      </x:c>
      <x:c r="B8" s="85" t="str">
        <x:v>People</x:v>
      </x:c>
      <x:c r="C8" s="85" t="str">
        <x:v>Employee lifecycle records and HR operations.</x:v>
      </x:c>
      <x:c r="D8" s="85" t="n">
        <x:v>5</x:v>
      </x:c>
      <x:c r="E8" s="85" t="str">
        <x:v>/hr/employee-documents, /hr/employee-onboarding, /hr/employee-separations, /hr/employees</x:v>
      </x:c>
      <x:c r="F8" s="85" t="str">
        <x:v>Permission and capability filtered</x:v>
      </x:c>
      <x:c r="G8" s="85" t="str">
        <x:v>One shared tree; maximum two interaction levels; existing URLs preserved.</x:v>
      </x:c>
      <x:c r="H8" s="85" t="str">
        <x:v>Implemented; 69 configured routes (69 auditable, 0 planned) structurally/unit verified; historical authenticated smoke: 59 passed; 0 failed; 3 skipped (62 total); 1 added route requires browser audit; menu-by-menu execution remains Not Run</x:v>
      </x:c>
    </x:row>
    <x:row r="9">
      <x:c r="A9" s="85" t="n">
        <x:v>4</x:v>
      </x:c>
      <x:c r="B9" s="85" t="str">
        <x:v>Recruitment</x:v>
      </x:c>
      <x:c r="C9" s="85" t="str">
        <x:v>Opening through offer and employee conversion.</x:v>
      </x:c>
      <x:c r="D9" s="85" t="n">
        <x:v>8</x:v>
      </x:c>
      <x:c r="E9" s="85" t="str">
        <x:v>/hr/recruitment, /hr/recruitment/applications, /hr/recruitment/candidates, /hr/recruitment/delivery</x:v>
      </x:c>
      <x:c r="F9" s="85" t="str">
        <x:v>Permission and capability filtered</x:v>
      </x:c>
      <x:c r="G9" s="85" t="str">
        <x:v>One shared tree; maximum two interaction levels; existing URLs preserved.</x:v>
      </x:c>
      <x:c r="H9" s="85" t="str">
        <x:v>Implemented; 69 configured routes (69 auditable, 0 planned) structurally/unit verified; historical authenticated smoke: 59 passed; 0 failed; 3 skipped (62 total); 1 added route requires browser audit; menu-by-menu execution remains Not Run</x:v>
      </x:c>
    </x:row>
    <x:row r="10">
      <x:c r="A10" s="85" t="n">
        <x:v>5</x:v>
      </x:c>
      <x:c r="B10" s="85" t="str">
        <x:v>Workforce</x:v>
      </x:c>
      <x:c r="C10" s="85" t="str">
        <x:v>Schedule, attendance, leave, overtime and comp-off.</x:v>
      </x:c>
      <x:c r="D10" s="85" t="n">
        <x:v>15</x:v>
      </x:c>
      <x:c r="E10" s="85" t="str">
        <x:v>/hr/attendance, /hr/attendance/exceptions, /hr/attendance/periods, /hr/employee-document-categories</x:v>
      </x:c>
      <x:c r="F10" s="85" t="str">
        <x:v>Permission and capability filtered</x:v>
      </x:c>
      <x:c r="G10" s="85" t="str">
        <x:v>One shared tree; maximum two interaction levels; existing URLs preserved.</x:v>
      </x:c>
      <x:c r="H10" s="85" t="str">
        <x:v>Implemented; 69 configured routes (69 auditable, 0 planned) structurally/unit verified; historical authenticated smoke: 59 passed; 0 failed; 3 skipped (62 total); 1 added route requires browser audit; menu-by-menu execution remains Not Run</x:v>
      </x:c>
    </x:row>
    <x:row r="11">
      <x:c r="A11" s="85" t="n">
        <x:v>6</x:v>
      </x:c>
      <x:c r="B11" s="85" t="str">
        <x:v>Payroll</x:v>
      </x:c>
      <x:c r="C11" s="85" t="str">
        <x:v>Monthly payroll preparation, review, payment and payslips.</x:v>
      </x:c>
      <x:c r="D11" s="85" t="n">
        <x:v>1</x:v>
      </x:c>
      <x:c r="E11" s="85" t="str">
        <x:v>/hr/payroll</x:v>
      </x:c>
      <x:c r="F11" s="85" t="str">
        <x:v>Permission and capability filtered</x:v>
      </x:c>
      <x:c r="G11" s="85" t="str">
        <x:v>One shared tree; maximum two interaction levels; existing URLs preserved.</x:v>
      </x:c>
      <x:c r="H11" s="85" t="str">
        <x:v>Implemented; 69 configured routes (69 auditable, 0 planned) structurally/unit verified; historical authenticated smoke: 59 passed; 0 failed; 3 skipped (62 total); 1 added route requires browser audit; menu-by-menu execution remains Not Run</x:v>
      </x:c>
    </x:row>
    <x:row r="12">
      <x:c r="A12" s="85" t="n">
        <x:v>7</x:v>
      </x:c>
      <x:c r="B12" s="85" t="str">
        <x:v>Projects</x:v>
      </x:c>
      <x:c r="C12" s="85" t="str">
        <x:v>Internal/client project delivery, tasks and approvals.</x:v>
      </x:c>
      <x:c r="D12" s="85" t="n">
        <x:v>1</x:v>
      </x:c>
      <x:c r="E12" s="85" t="str">
        <x:v>/projects/projects</x:v>
      </x:c>
      <x:c r="F12" s="85" t="str">
        <x:v>Permission and capability filtered</x:v>
      </x:c>
      <x:c r="G12" s="85" t="str">
        <x:v>One shared tree; maximum two interaction levels; existing URLs preserved.</x:v>
      </x:c>
      <x:c r="H12" s="85" t="str">
        <x:v>Implemented; 69 configured routes (69 auditable, 0 planned) structurally/unit verified; historical authenticated smoke: 59 passed; 0 failed; 3 skipped (62 total); 1 added route requires browser audit; menu-by-menu execution remains Not Run</x:v>
      </x:c>
    </x:row>
    <x:row r="13">
      <x:c r="A13" s="85" t="n">
        <x:v>8</x:v>
      </x:c>
      <x:c r="B13" s="85" t="str">
        <x:v>Finance</x:v>
      </x:c>
      <x:c r="C13" s="85" t="str">
        <x:v>Financial setup, maker/checker transactions and reports.</x:v>
      </x:c>
      <x:c r="D13" s="85" t="n">
        <x:v>4</x:v>
      </x:c>
      <x:c r="E13" s="85" t="str">
        <x:v>/office-finance, /office-finance/reports, /office-finance/setup, /office-finance/transactions</x:v>
      </x:c>
      <x:c r="F13" s="85" t="str">
        <x:v>Permission and capability filtered</x:v>
      </x:c>
      <x:c r="G13" s="85" t="str">
        <x:v>One shared tree; maximum two interaction levels; existing URLs preserved.</x:v>
      </x:c>
      <x:c r="H13" s="85" t="str">
        <x:v>Implemented; 69 configured routes (69 auditable, 0 planned) structurally/unit verified; historical authenticated smoke: 59 passed; 0 failed; 3 skipped (62 total); 1 added route requires browser audit; menu-by-menu execution remains Not Run</x:v>
      </x:c>
    </x:row>
    <x:row r="14">
      <x:c r="A14" s="85" t="n">
        <x:v>9</x:v>
      </x:c>
      <x:c r="B14" s="85" t="str">
        <x:v>Assets &amp; Licences</x:v>
      </x:c>
      <x:c r="C14" s="85" t="str">
        <x:v>Asset custody, transfers, returns, waivers and licences.</x:v>
      </x:c>
      <x:c r="D14" s="85" t="n">
        <x:v>9</x:v>
      </x:c>
      <x:c r="E14" s="85" t="str">
        <x:v>/asset-management/asset-categories, /asset-management/asset-types, /asset-management/assets, /asset-management/department-grants</x:v>
      </x:c>
      <x:c r="F14" s="85" t="str">
        <x:v>Permission and capability filtered</x:v>
      </x:c>
      <x:c r="G14" s="85" t="str">
        <x:v>One shared tree; maximum two interaction levels; existing URLs preserved.</x:v>
      </x:c>
      <x:c r="H14" s="85" t="str">
        <x:v>Implemented; 69 configured routes (69 auditable, 0 planned) structurally/unit verified; historical authenticated smoke: 59 passed; 0 failed; 3 skipped (62 total); 1 added route requires browser audit; menu-by-menu execution remains Not Run</x:v>
      </x:c>
    </x:row>
    <x:row r="15">
      <x:c r="A15" s="85" t="n">
        <x:v>10</x:v>
      </x:c>
      <x:c r="B15" s="85" t="str">
        <x:v>Setup</x:v>
      </x:c>
      <x:c r="C15" s="85" t="str">
        <x:v>Admin-only organization and module configuration.</x:v>
      </x:c>
      <x:c r="D15" s="85" t="n">
        <x:v>12</x:v>
      </x:c>
      <x:c r="E15" s="85" t="str">
        <x:v>/administration/approval-workflows, /administration/branches, /administration/business-calendar, /administration/companies</x:v>
      </x:c>
      <x:c r="F15" s="85" t="str">
        <x:v>Admin/operations roles</x:v>
      </x:c>
      <x:c r="G15" s="85" t="str">
        <x:v>One shared tree; maximum two interaction levels; existing URLs preserved.</x:v>
      </x:c>
      <x:c r="H15" s="85" t="str">
        <x:v>Implemented; 69 configured routes (69 auditable, 0 planned) structurally/unit verified; historical authenticated smoke: 59 passed; 0 failed; 3 skipped (62 total); 1 added route requires browser audit; menu-by-menu execution remains Not Run</x:v>
      </x:c>
    </x:row>
    <x:row r="16">
      <x:c r="A16" s="85" t="n">
        <x:v>11</x:v>
      </x:c>
      <x:c r="B16" s="85" t="str">
        <x:v>Operations</x:v>
      </x:c>
      <x:c r="C16" s="85" t="str">
        <x:v>Delivery/file recovery and exception queues.</x:v>
      </x:c>
      <x:c r="D16" s="85" t="n">
        <x:v>4</x:v>
      </x:c>
      <x:c r="E16" s="85" t="str">
        <x:v>/admin/operations/delivery, /admin/operations/delivery/dead-letters, /admin/operations/delivery/recipient-exceptions, /admin/operations/delivery/suppressions</x:v>
      </x:c>
      <x:c r="F16" s="85" t="str">
        <x:v>Admin/operations roles</x:v>
      </x:c>
      <x:c r="G16" s="85" t="str">
        <x:v>One shared tree; maximum two interaction levels; existing URLs preserved.</x:v>
      </x:c>
      <x:c r="H16" s="85" t="str">
        <x:v>Implemented; 69 configured routes (69 auditable, 0 planned) structurally/unit verified; historical authenticated smoke: 59 passed; 0 failed; 3 skipped (62 total); 1 added route requires browser audit; menu-by-menu execution remains Not Run</x:v>
      </x:c>
    </x:row>
    <x:row r="17">
      <x:c r="A17" s="86" t="n">
        <x:v>12</x:v>
      </x:c>
      <x:c r="B17" s="86" t="str">
        <x:v>Security</x:v>
      </x:c>
      <x:c r="C17" s="86" t="str">
        <x:v>Users, roles, sessions and retention.</x:v>
      </x:c>
      <x:c r="D17" s="86" t="n">
        <x:v>1</x:v>
      </x:c>
      <x:c r="E17" s="86" t="str">
        <x:v>/administration/users</x:v>
      </x:c>
      <x:c r="F17" s="86" t="str">
        <x:v>Admin/operations roles</x:v>
      </x:c>
      <x:c r="G17" s="86" t="str">
        <x:v>One shared tree; maximum two interaction levels; existing URLs preserved.</x:v>
      </x:c>
      <x:c r="H17" s="86" t="str">
        <x:v>Implemented; 69 configured routes (69 auditable, 0 planned) structurally/unit verified; historical authenticated smoke: 59 passed; 0 failed; 3 skipped (62 total); 1 added route requires browser audit; menu-by-menu execution remains Not Run</x:v>
      </x:c>
    </x:row>
  </x:sheetData>
  <x:pageMargins left="0.7" right="0.7" top="0.75" bottom="0.75" header="0.3" footer="0.3"/>
  <x:tableParts count="1">
    <x:tablePart xmlns:r="http://schemas.openxmlformats.org/officeDocument/2006/relationships" r:id="Rc73cfbdf3c9444bb"/>
  </x:tableParts>
</x:worksheet>
</file>

<file path=xl/worksheets/sheet13.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6" hidden="0" customWidth="1"/>
    <x:col min="2" max="2" width="28" hidden="0" customWidth="1"/>
    <x:col min="3" max="3" width="34" hidden="0" customWidth="1"/>
    <x:col min="4" max="4" width="38" hidden="0" customWidth="1"/>
    <x:col min="5" max="5" width="34" hidden="0" customWidth="1"/>
    <x:col min="6" max="6" width="24" hidden="0" customWidth="1"/>
    <x:col min="7" max="7" width="46" hidden="0" customWidth="1"/>
  </x:cols>
  <x:sheetData>
    <x:row r="1" ht="24" customHeight="1">
      <x:c r="A1" s="64" t="str">
        <x:v>Environment and Dependency Audit</x:v>
      </x:c>
      <x:c r="B1" s="63"/>
      <x:c r="C1" s="63"/>
      <x:c r="D1" s="63"/>
      <x:c r="E1" s="63"/>
      <x:c r="F1" s="63"/>
      <x:c r="G1" s="63"/>
    </x:row>
    <x:row r="2" ht="18" customHeight="1">
      <x:c r="A2" s="65" t="str">
        <x:v>Deployment identity, services and schema isolation controls</x:v>
      </x:c>
    </x:row>
    <x:row r="3" ht="18" customHeight="1">
      <x:c r="A3" s="66" t="str">
        <x:v>Values are evidence requirements, not authorization to mutate a database.</x:v>
      </x:c>
    </x:row>
    <x:row r="5" ht="32" customHeight="1">
      <x:c r="A5" s="78" t="str">
        <x:v>Area</x:v>
      </x:c>
      <x:c r="B5" s="79" t="str">
        <x:v>Setting / dependency</x:v>
      </x:c>
      <x:c r="C5" s="79" t="str">
        <x:v>Observed / agreed</x:v>
      </x:c>
      <x:c r="D5" s="79" t="str">
        <x:v>Required target</x:v>
      </x:c>
      <x:c r="E5" s="79" t="str">
        <x:v>Validation</x:v>
      </x:c>
      <x:c r="F5" s="79" t="str">
        <x:v>Status</x:v>
      </x:c>
      <x:c r="G5" s="80" t="str">
        <x:v>Notes</x:v>
      </x:c>
    </x:row>
    <x:row r="6">
      <x:c r="A6" s="84" t="str">
        <x:v>Database</x:v>
      </x:c>
      <x:c r="B6" s="84" t="str">
        <x:v>DATABASE_NAME</x:v>
      </x:c>
      <x:c r="C6" s="84" t="str">
        <x:v>dsp_erp_dev</x:v>
      </x:c>
      <x:c r="D6" s="84" t="str">
        <x:v>dsp_erp_dev</x:v>
      </x:c>
      <x:c r="E6" s="84" t="str">
        <x:v>Exact match before every writer</x:v>
      </x:c>
      <x:c r="F6" s="84" t="str">
        <x:v>Live verified 2026-09-17</x:v>
      </x:c>
      <x:c r="G6" s="84" t="str">
        <x:v>Do not infer from URL display name.</x:v>
      </x:c>
    </x:row>
    <x:row r="7">
      <x:c r="A7" s="85" t="str">
        <x:v>Database</x:v>
      </x:c>
      <x:c r="B7" s="85" t="str">
        <x:v>DATABASE_USER</x:v>
      </x:c>
      <x:c r="C7" s="85" t="str">
        <x:v>dscape</x:v>
      </x:c>
      <x:c r="D7" s="85" t="str">
        <x:v>dscape</x:v>
      </x:c>
      <x:c r="E7" s="85" t="str">
        <x:v>Exact match before every writer</x:v>
      </x:c>
      <x:c r="F7" s="85" t="str">
        <x:v>Live verified 2026-09-17</x:v>
      </x:c>
      <x:c r="G7" s="85" t="str">
        <x:v>Same role increases schema-risk; compensating controls are active.</x:v>
      </x:c>
    </x:row>
    <x:row r="8">
      <x:c r="A8" s="85" t="str">
        <x:v>Schema</x:v>
      </x:c>
      <x:c r="B8" s="85" t="str">
        <x:v>Current schema</x:v>
      </x:c>
      <x:c r="C8" s="85" t="str">
        <x:v>dsp_pms</x:v>
      </x:c>
      <x:c r="D8" s="85" t="str">
        <x:v>Never a QA writer target</x:v>
      </x:c>
      <x:c r="E8" s="85" t="str">
        <x:v>Hard refusal plus pre/post structure comparison</x:v>
      </x:c>
      <x:c r="F8" s="85" t="str">
        <x:v>Passed</x:v>
      </x:c>
      <x:c r="G8" s="85" t="str">
        <x:v>Final read-only pg_dump comparison: CURRENT_SCHEMA_UNCHANGED; SHA-256 d26cbfed33058fcf51dba67a498ef4899ed9b060d2b4b9aecce10304d9112e71.</x:v>
      </x:c>
    </x:row>
    <x:row r="9">
      <x:c r="A9" s="85" t="str">
        <x:v>Schema</x:v>
      </x:c>
      <x:c r="B9" s="85" t="str">
        <x:v>Staging schema</x:v>
      </x:c>
      <x:c r="C9" s="85" t="str">
        <x:v>dsp_pms_stg</x:v>
      </x:c>
      <x:c r="D9" s="85" t="str">
        <x:v>Only accepted QA writer target</x:v>
      </x:c>
      <x:c r="E9" s="85" t="str">
        <x:v>current_schema() + sentinel + token</x:v>
      </x:c>
      <x:c r="F9" s="85" t="str">
        <x:v>Passed</x:v>
      </x:c>
      <x:c r="G9" s="85" t="str">
        <x:v>Structure baseline, sentinel and 161/161 migrations verified; 185 tables / 2,895 columns / 1,051 indexes; catalog fingerprint 91fd7193fdb19f05b5752e1b145e0ba7695e4b35b3eceb1c18b1dbdd49f42722.</x:v>
      </x:c>
    </x:row>
    <x:row r="10">
      <x:c r="A10" s="85" t="str">
        <x:v>Schema</x:v>
      </x:c>
      <x:c r="B10" s="85" t="str">
        <x:v>Cross-schema SQL</x:v>
      </x:c>
      <x:c r="C10" s="85" t="str">
        <x:v>Six historical migrations contain schema-dependent or dynamic SQL</x:v>
      </x:c>
      <x:c r="D10" s="85" t="str">
        <x:v>No schema control, explicit cross-schema reference or dynamic SQL in new migrations</x:v>
      </x:c>
      <x:c r="E10" s="85" t="str">
        <x:v>161-migration static audit plus exact name/checksum lineage</x:v>
      </x:c>
      <x:c r="F10" s="85" t="str">
        <x:v>Passed for staging</x:v>
      </x:c>
      <x:c r="G10" s="85" t="str">
        <x:v>161/161 applied with zero missing, unexpected, duplicate, failed or checksum-mismatched migrations; historical from-zero chain remains a separate CI gate.</x:v>
      </x:c>
    </x:row>
    <x:row r="11">
      <x:c r="A11" s="85" t="str">
        <x:v>Runtime</x:v>
      </x:c>
      <x:c r="B11" s="85" t="str">
        <x:v>Node.js</x:v>
      </x:c>
      <x:c r="C11" s="85" t="str">
        <x:v>Host 24.20.0; pnpm wrapper 22.17.0; bundled 24.19.0</x:v>
      </x:c>
      <x:c r="D11" s="85" t="str">
        <x:v>&gt;=24.20.0 &lt;25</x:v>
      </x:c>
      <x:c r="E11" s="85" t="str">
        <x:v>package engines + typecheck/build</x:v>
      </x:c>
      <x:c r="F11" s="85" t="str">
        <x:v>Qualified host runtime used for final verification</x:v>
      </x:c>
      <x:c r="G11" s="85" t="str">
        <x:v>The stale pnpm shim remains an environment-cleanup item; final direct Node commands used 24.20.0.</x:v>
      </x:c>
    </x:row>
    <x:row r="12">
      <x:c r="A12" s="85" t="str">
        <x:v>Runtime</x:v>
      </x:c>
      <x:c r="B12" s="85" t="str">
        <x:v>pnpm</x:v>
      </x:c>
      <x:c r="C12" s="85" t="str">
        <x:v>11.24.0</x:v>
      </x:c>
      <x:c r="D12" s="85" t="str">
        <x:v>11.24.0</x:v>
      </x:c>
      <x:c r="E12" s="85" t="str">
        <x:v>packageManager lock</x:v>
      </x:c>
      <x:c r="F12" s="85" t="str">
        <x:v>Verified dependency</x:v>
      </x:c>
      <x:c r="G12" s="85" t="str">
        <x:v>Use pnpm, not npm.</x:v>
      </x:c>
    </x:row>
    <x:row r="13">
      <x:c r="A13" s="85" t="str">
        <x:v>Auth</x:v>
      </x:c>
      <x:c r="B13" s="85" t="str">
        <x:v>AUTH_ACTION_TOKEN_SECRET_PATH</x:v>
      </x:c>
      <x:c r="C13" s="85" t="str">
        <x:v>Missing in prior production validation</x:v>
      </x:c>
      <x:c r="D13" s="85" t="str">
        <x:v>Mounted secret path</x:v>
      </x:c>
      <x:c r="E13" s="85" t="str">
        <x:v>Environment validation</x:v>
      </x:c>
      <x:c r="F13" s="85" t="str">
        <x:v>Open configuration gate</x:v>
      </x:c>
      <x:c r="G13" s="85" t="str">
        <x:v>Never store secret material in workbook or repository.</x:v>
      </x:c>
    </x:row>
    <x:row r="14">
      <x:c r="A14" s="85" t="str">
        <x:v>Public careers</x:v>
      </x:c>
      <x:c r="B14" s="85" t="str">
        <x:v>Turnstile</x:v>
      </x:c>
      <x:c r="C14" s="85" t="str">
        <x:v>Feature may be enabled without keys</x:v>
      </x:c>
      <x:c r="D14" s="85" t="str">
        <x:v>Sandbox key pair before provider tests</x:v>
      </x:c>
      <x:c r="E14" s="85" t="str">
        <x:v>Startup validation + negative test</x:v>
      </x:c>
      <x:c r="F14" s="85" t="str">
        <x:v>Open configuration gate</x:v>
      </x:c>
      <x:c r="G14" s="85" t="str">
        <x:v>Disabled or Sign in page is not Pass.</x:v>
      </x:c>
    </x:row>
    <x:row r="15">
      <x:c r="A15" s="85" t="str">
        <x:v>Email</x:v>
      </x:c>
      <x:c r="B15" s="85" t="str">
        <x:v>SMTP/sandbox</x:v>
      </x:c>
      <x:c r="C15" s="85" t="str">
        <x:v>Assumed available</x:v>
      </x:c>
      <x:c r="D15" s="85" t="str">
        <x:v>Real sandbox provider</x:v>
      </x:c>
      <x:c r="E15" s="85" t="str">
        <x:v>Send, retry, bounce/suppression evidence</x:v>
      </x:c>
      <x:c r="F15" s="85" t="str">
        <x:v>Not verified</x:v>
      </x:c>
      <x:c r="G15" s="85" t="str">
        <x:v>Provider-backed tests remain blocked.</x:v>
      </x:c>
    </x:row>
    <x:row r="16">
      <x:c r="A16" s="85" t="str">
        <x:v>Files</x:v>
      </x:c>
      <x:c r="B16" s="85" t="str">
        <x:v>Object storage</x:v>
      </x:c>
      <x:c r="C16" s="85" t="str">
        <x:v>Assumed available</x:v>
      </x:c>
      <x:c r="D16" s="85" t="str">
        <x:v>Dedicated sandbox bucket/prefix</x:v>
      </x:c>
      <x:c r="E16" s="85" t="str">
        <x:v>Upload/download/delete evidence</x:v>
      </x:c>
      <x:c r="F16" s="85" t="str">
        <x:v>Not verified</x:v>
      </x:c>
      <x:c r="G16" s="85" t="str">
        <x:v>Run-owned prefix only.</x:v>
      </x:c>
    </x:row>
    <x:row r="17">
      <x:c r="A17" s="85" t="str">
        <x:v>Files</x:v>
      </x:c>
      <x:c r="B17" s="85" t="str">
        <x:v>Malware scanner</x:v>
      </x:c>
      <x:c r="C17" s="85" t="str">
        <x:v>Previously disabled</x:v>
      </x:c>
      <x:c r="D17" s="85" t="str">
        <x:v>Scanner enabled with controlled test file</x:v>
      </x:c>
      <x:c r="E17" s="85" t="str">
        <x:v>Clean/quarantine/retry evidence</x:v>
      </x:c>
      <x:c r="F17" s="85" t="str">
        <x:v>Not verified</x:v>
      </x:c>
      <x:c r="G17" s="85" t="str">
        <x:v>No production file access.</x:v>
      </x:c>
    </x:row>
    <x:row r="18">
      <x:c r="A18" s="85" t="str">
        <x:v>Workers</x:v>
      </x:c>
      <x:c r="B18" s="85" t="str">
        <x:v>Delivery/queue controls</x:v>
      </x:c>
      <x:c r="C18" s="85" t="str">
        <x:v>Environment controlled</x:v>
      </x:c>
      <x:c r="D18" s="85" t="str">
        <x:v>Infrastructure-only environment values</x:v>
      </x:c>
      <x:c r="E18" s="85" t="str">
        <x:v>Health and retry evidence</x:v>
      </x:c>
      <x:c r="F18" s="85" t="str">
        <x:v>Review required</x:v>
      </x:c>
      <x:c r="G18" s="85" t="str">
        <x:v>Tenant allowlists move to Company entitlements.</x:v>
      </x:c>
    </x:row>
    <x:row r="19">
      <x:c r="A19" s="85" t="str">
        <x:v>Tenant behavior</x:v>
      </x:c>
      <x:c r="B19" s="85" t="str">
        <x:v>Country/currency/timezone/year/policies</x:v>
      </x:c>
      <x:c r="C19" s="85" t="str">
        <x:v>Mixed environment and source defaults</x:v>
      </x:c>
      <x:c r="D19" s="85" t="str">
        <x:v>Company/Branch/Financial Profile data</x:v>
      </x:c>
      <x:c r="E19" s="85" t="str">
        <x:v>Readiness checks</x:v>
      </x:c>
      <x:c r="F19" s="85" t="str">
        <x:v>Partially implemented</x:v>
      </x:c>
      <x:c r="G19" s="85" t="str">
        <x:v>Company legal country, required Branch country/subdivision/timezone, reviewed working-week gate, Financial Profile offer currency and tax-country validation are implemented; broader policy convergence remains incomplete.</x:v>
      </x:c>
    </x:row>
    <x:row r="20">
      <x:c r="A20" s="85" t="str">
        <x:v>Modules</x:v>
      </x:c>
      <x:c r="B20" s="85" t="str">
        <x:v>Company entitlements</x:v>
      </x:c>
      <x:c r="C20" s="85" t="str">
        <x:v>Environment allowlists</x:v>
      </x:c>
      <x:c r="D20" s="85" t="str">
        <x:v>Explicit Company module entitlements with scoped administration</x:v>
      </x:c>
      <x:c r="E20" s="85" t="str">
        <x:v>Two primary Companies enabled</x:v>
      </x:c>
      <x:c r="F20" s="85" t="str">
        <x:v>Implemented; targeted browser smoke passed</x:v>
      </x:c>
      <x:c r="G20" s="85" t="str">
        <x:v>Company entitlements replace active tenant allowlists. Owner manage, HR read-only and Employee denied states passed in the Company detail workflow; dependency controls were exercised without persisting a test change.</x:v>
      </x:c>
    </x:row>
    <x:row r="21">
      <x:c r="A21" s="85" t="str">
        <x:v>Isolation</x:v>
      </x:c>
      <x:c r="B21" s="85" t="str">
        <x:v>Schema fingerprint</x:v>
      </x:c>
      <x:c r="C21" s="85" t="str">
        <x:v>Current structure baseline and staging catalog fingerprints captured</x:v>
      </x:c>
      <x:c r="D21" s="85" t="str">
        <x:v>Before/after current-schema comparison</x:v>
      </x:c>
      <x:c r="E21" s="85" t="str">
        <x:v>Recorded dump/hash and catalog manifests</x:v>
      </x:c>
      <x:c r="F21" s="85" t="str">
        <x:v>Passed</x:v>
      </x:c>
      <x:c r="G21" s="85" t="str">
        <x:v>dsp_pms is byte-identical after excluding only pg_dump random guard tokens; SHA-256 d26cbfed33058fcf51dba67a498ef4899ed9b060d2b4b9aecce10304d9112e71.</x:v>
      </x:c>
    </x:row>
    <x:row r="22">
      <x:c r="A22" s="85" t="str">
        <x:v>Seed</x:v>
      </x:c>
      <x:c r="B22" s="85" t="str">
        <x:v>Idempotency</x:v>
      </x:c>
      <x:c r="C22" s="85" t="str">
        <x:v>Organization, stable-master and persona baselines applied</x:v>
      </x:c>
      <x:c r="D22" s="85" t="str">
        <x:v>Reference seed reruns have zero drift</x:v>
      </x:c>
      <x:c r="E22" s="85" t="str">
        <x:v>Before/after manifest diff</x:v>
      </x:c>
      <x:c r="F22" s="85" t="str">
        <x:v>Passed</x:v>
      </x:c>
      <x:c r="G22" s="85" t="str">
        <x:v>Final organization/master rerun left 188 unchanged. The guarded persona apply synchronized 21 User records; its immediate rerun created 0, updated 0 and left 126 unchanged.</x:v>
      </x:c>
    </x:row>
    <x:row r="23">
      <x:c r="A23" s="86" t="str">
        <x:v>Promotion</x:v>
      </x:c>
      <x:c r="B23" s="86" t="str">
        <x:v>Current target checks</x:v>
      </x:c>
      <x:c r="C23" s="86" t="str">
        <x:v>No promotion attempted</x:v>
      </x:c>
      <x:c r="D23" s="86" t="str">
        <x:v>Restore point + dry-run + exact target confirmation</x:v>
      </x:c>
      <x:c r="E23" s="86" t="str">
        <x:v>Migration/backfill evidence</x:v>
      </x:c>
      <x:c r="F23" s="86" t="str">
        <x:v>Not run</x:v>
      </x:c>
      <x:c r="G23" s="86" t="str">
        <x:v>Never copy QA people/files/transactions/settings.</x:v>
      </x:c>
    </x:row>
  </x:sheetData>
  <x:pageMargins left="0.7" right="0.7" top="0.75" bottom="0.75" header="0.3" footer="0.3"/>
  <x:tableParts count="1">
    <x:tablePart xmlns:r="http://schemas.openxmlformats.org/officeDocument/2006/relationships" r:id="Rd74a0c28cfbe4179"/>
  </x:tableParts>
</x:worksheet>
</file>

<file path=xl/worksheets/sheet14.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1" hidden="0" customWidth="1"/>
    <x:col min="2" max="2" width="22" hidden="0" customWidth="1"/>
    <x:col min="3" max="3" width="48" hidden="0" customWidth="1"/>
    <x:col min="4" max="4" width="42" hidden="0" customWidth="1"/>
    <x:col min="5" max="5" width="42" hidden="0" customWidth="1"/>
    <x:col min="6" max="6" width="10" hidden="0" customWidth="1"/>
    <x:col min="7" max="7" width="26" hidden="0" customWidth="1"/>
    <x:col min="8" max="8" width="20" hidden="0" customWidth="1"/>
  </x:cols>
  <x:sheetData>
    <x:row r="1" ht="24" customHeight="1">
      <x:c r="A1" s="64" t="str">
        <x:v>Hardcoded Settings Register</x:v>
      </x:c>
      <x:c r="B1" s="63"/>
      <x:c r="C1" s="63"/>
      <x:c r="D1" s="63"/>
      <x:c r="E1" s="63"/>
      <x:c r="F1" s="63"/>
      <x:c r="G1" s="63"/>
      <x:c r="H1" s="63"/>
    </x:row>
    <x:row r="2" ht="18" customHeight="1">
      <x:c r="A2" s="65" t="str">
        <x:v>Tenant-specific defaults and non-canonical product configuration</x:v>
      </x:c>
    </x:row>
    <x:row r="3" ht="18" customHeight="1">
      <x:c r="A3" s="66" t="str">
        <x:v>Migrations and encrypted format markers may retain immutable version labels.</x:v>
      </x:c>
    </x:row>
    <x:row r="5" ht="32" customHeight="1">
      <x:c r="A5" s="78" t="str">
        <x:v>ID</x:v>
      </x:c>
      <x:c r="B5" s="79" t="str">
        <x:v>Area</x:v>
      </x:c>
      <x:c r="C5" s="79" t="str">
        <x:v>Location</x:v>
      </x:c>
      <x:c r="D5" s="79" t="str">
        <x:v>Current behavior</x:v>
      </x:c>
      <x:c r="E5" s="79" t="str">
        <x:v>Target behavior</x:v>
      </x:c>
      <x:c r="F5" s="79" t="str">
        <x:v>Severity</x:v>
      </x:c>
      <x:c r="G5" s="79" t="str">
        <x:v>Implementation status</x:v>
      </x:c>
      <x:c r="H5" s="80" t="str">
        <x:v>Target / evidence date</x:v>
      </x:c>
    </x:row>
    <x:row r="6">
      <x:c r="A6" s="84" t="str">
        <x:v>HC-001</x:v>
      </x:c>
      <x:c r="B6" s="84" t="str">
        <x:v>Employee creation</x:v>
      </x:c>
      <x:c r="C6" s="84" t="str">
        <x:v>backend/src/modules/employee/employee.service.ts</x:v>
      </x:c>
      <x:c r="D6" s="84" t="str">
        <x:v>Normal UI creation labelled LEGACY_IMPORT</x:v>
      </x:c>
      <x:c r="E6" s="84" t="str">
        <x:v>MANUAL source</x:v>
      </x:c>
      <x:c r="F6" s="84" t="str">
        <x:v>P1</x:v>
      </x:c>
      <x:c r="G6" s="84" t="str">
        <x:v>Fixed; unit tested</x:v>
      </x:c>
      <x:c r="H6" s="84" t="str">
        <x:v>2026-09-17</x:v>
      </x:c>
    </x:row>
    <x:row r="7">
      <x:c r="A7" s="85" t="str">
        <x:v>HC-002</x:v>
      </x:c>
      <x:c r="B7" s="85" t="str">
        <x:v>Reporting hierarchy</x:v>
      </x:c>
      <x:c r="C7" s="85" t="str">
        <x:v>backend/src/modules/employee/employee.service.ts</x:v>
      </x:c>
      <x:c r="D7" s="85" t="str">
        <x:v>Manager forced to same Branch</x:v>
      </x:c>
      <x:c r="E7" s="85" t="str">
        <x:v>Same Company, cross-Branch allowed</x:v>
      </x:c>
      <x:c r="F7" s="85" t="str">
        <x:v>P1</x:v>
      </x:c>
      <x:c r="G7" s="85" t="str">
        <x:v>Fixed; unit tested</x:v>
      </x:c>
      <x:c r="H7" s="85" t="str">
        <x:v>2026-09-17</x:v>
      </x:c>
    </x:row>
    <x:row r="8">
      <x:c r="A8" s="85" t="str">
        <x:v>HC-003</x:v>
      </x:c>
      <x:c r="B8" s="85" t="str">
        <x:v>Attendance regularization</x:v>
      </x:c>
      <x:c r="C8" s="85" t="str">
        <x:v>frontend/features/attendance-exception/dialogs/submit-regularization-sheet.tsx</x:v>
      </x:c>
      <x:c r="D8" s="85" t="str">
        <x:v>09:00–18:00 and UAT-E2E reason prefilled</x:v>
      </x:c>
      <x:c r="E8" s="85" t="str">
        <x:v>Explicit user-entered values</x:v>
      </x:c>
      <x:c r="F8" s="85" t="str">
        <x:v>P1</x:v>
      </x:c>
      <x:c r="G8" s="85" t="str">
        <x:v>Fixed; merged typecheck passed</x:v>
      </x:c>
      <x:c r="H8" s="85" t="str">
        <x:v>2026-09-17</x:v>
      </x:c>
    </x:row>
    <x:row r="9">
      <x:c r="A9" s="85" t="str">
        <x:v>HC-004</x:v>
      </x:c>
      <x:c r="B9" s="85" t="str">
        <x:v>Business calendar</x:v>
      </x:c>
      <x:c r="C9" s="85" t="str">
        <x:v>frontend/features/business-calendar/*</x:v>
      </x:c>
      <x:c r="D9" s="85" t="str">
        <x:v>2026 and Asia/Kolkata defaults</x:v>
      </x:c>
      <x:c r="E9" s="85" t="str">
        <x:v>Current year and explicit timezone</x:v>
      </x:c>
      <x:c r="F9" s="85" t="str">
        <x:v>P1</x:v>
      </x:c>
      <x:c r="G9" s="85" t="str">
        <x:v>Fixed; merged typecheck passed</x:v>
      </x:c>
      <x:c r="H9" s="85" t="str">
        <x:v>2026-09-17</x:v>
      </x:c>
    </x:row>
    <x:row r="10">
      <x:c r="A10" s="85" t="str">
        <x:v>HC-005</x:v>
      </x:c>
      <x:c r="B10" s="85" t="str">
        <x:v>Interview scheduling</x:v>
      </x:c>
      <x:c r="C10" s="85" t="str">
        <x:v>frontend/features/recruitment/interviews/*</x:v>
      </x:c>
      <x:c r="D10" s="85" t="str">
        <x:v>Asia/Kolkata-only default and limited list</x:v>
      </x:c>
      <x:c r="E10" s="85" t="str">
        <x:v>Local IANA timezone plus India/UAE/UTC</x:v>
      </x:c>
      <x:c r="F10" s="85" t="str">
        <x:v>P2</x:v>
      </x:c>
      <x:c r="G10" s="85" t="str">
        <x:v>Fixed; merged typecheck passed</x:v>
      </x:c>
      <x:c r="H10" s="85" t="str">
        <x:v>2026-09-17</x:v>
      </x:c>
    </x:row>
    <x:row r="11">
      <x:c r="A11" s="85" t="str">
        <x:v>HC-006</x:v>
      </x:c>
      <x:c r="B11" s="85" t="str">
        <x:v>Recruitment mapper</x:v>
      </x:c>
      <x:c r="C11" s="85" t="str">
        <x:v>frontend/features/recruitment/utils/api-mappers.ts</x:v>
      </x:c>
      <x:c r="D11" s="85" t="str">
        <x:v>Missing timezone becomes Asia/Kolkata</x:v>
      </x:c>
      <x:c r="E11" s="85" t="str">
        <x:v>Neutral UTC fallback; API must supply timezone</x:v>
      </x:c>
      <x:c r="F11" s="85" t="str">
        <x:v>P2</x:v>
      </x:c>
      <x:c r="G11" s="85" t="str">
        <x:v>Fixed; merged typecheck passed</x:v>
      </x:c>
      <x:c r="H11" s="85" t="str">
        <x:v>2026-09-17</x:v>
      </x:c>
    </x:row>
    <x:row r="12">
      <x:c r="A12" s="85" t="str">
        <x:v>HC-007</x:v>
      </x:c>
      <x:c r="B12" s="85" t="str">
        <x:v>Owner onboarding</x:v>
      </x:c>
      <x:c r="C12" s="85" t="str">
        <x:v>backend/src/modules/organization-onboarding/organization-onboarding.service.ts</x:v>
      </x:c>
      <x:c r="D12" s="85" t="str">
        <x:v>First Company/Department and name-matched Designation</x:v>
      </x:c>
      <x:c r="E12" s="85" t="str">
        <x:v>Explicit selection</x:v>
      </x:c>
      <x:c r="F12" s="85" t="str">
        <x:v>P1</x:v>
      </x:c>
      <x:c r="G12" s="85" t="str">
        <x:v>Fixed; 11 backend and 7 frontend focused tests</x:v>
      </x:c>
      <x:c r="H12" s="85" t="str">
        <x:v>2026-09-17</x:v>
      </x:c>
    </x:row>
    <x:row r="13">
      <x:c r="A13" s="85" t="str">
        <x:v>HC-008</x:v>
      </x:c>
      <x:c r="B13" s="85" t="str">
        <x:v>Authentication defaults</x:v>
      </x:c>
      <x:c r="C13" s="85" t="str">
        <x:v>backend/src/modules/auth</x:v>
      </x:c>
      <x:c r="D13" s="85" t="str">
        <x:v>First role/company fallback</x:v>
      </x:c>
      <x:c r="E13" s="85" t="str">
        <x:v>Explicit active/default assignment</x:v>
      </x:c>
      <x:c r="F13" s="85" t="str">
        <x:v>P1</x:v>
      </x:c>
      <x:c r="G13" s="85" t="str">
        <x:v>Fixed; ambiguous scopes require explicit selection; 29 focused tests</x:v>
      </x:c>
      <x:c r="H13" s="85" t="str">
        <x:v>2026-09-17</x:v>
      </x:c>
    </x:row>
    <x:row r="14">
      <x:c r="A14" s="85" t="str">
        <x:v>HC-009</x:v>
      </x:c>
      <x:c r="B14" s="85" t="str">
        <x:v>Government holidays</x:v>
      </x:c>
      <x:c r="C14" s="85" t="str">
        <x:v>backend business-calendar provider</x:v>
      </x:c>
      <x:c r="D14" s="85" t="str">
        <x:v>IN/AE 2026 fixture; empty otherwise</x:v>
      </x:c>
      <x:c r="E14" s="85" t="str">
        <x:v>Controlled provider/import with review</x:v>
      </x:c>
      <x:c r="F14" s="85" t="str">
        <x:v>P1</x:v>
      </x:c>
      <x:c r="G14" s="85" t="str">
        <x:v>Fixed: reviewed packs fail closed; other scopes use controlled upload; 19 tests</x:v>
      </x:c>
      <x:c r="H14" s="85" t="str">
        <x:v>2026-09-17</x:v>
      </x:c>
    </x:row>
    <x:row r="15">
      <x:c r="A15" s="85" t="str">
        <x:v>HC-010</x:v>
      </x:c>
      <x:c r="B15" s="85" t="str">
        <x:v>Offer currency</x:v>
      </x:c>
      <x:c r="C15" s="85" t="str">
        <x:v>recruitment offer UI/service</x:v>
      </x:c>
      <x:c r="D15" s="85" t="str">
        <x:v>INR default</x:v>
      </x:c>
      <x:c r="E15" s="85" t="str">
        <x:v>Company Financial Profile currency</x:v>
      </x:c>
      <x:c r="F15" s="85" t="str">
        <x:v>P1</x:v>
      </x:c>
      <x:c r="G15" s="85" t="str">
        <x:v>Fixed; 3 backend tests and merged frontend regression passed</x:v>
      </x:c>
      <x:c r="H15" s="85" t="str">
        <x:v>2026-09-17</x:v>
      </x:c>
    </x:row>
    <x:row r="16">
      <x:c r="A16" s="85" t="str">
        <x:v>HC-011</x:v>
      </x:c>
      <x:c r="B16" s="85" t="str">
        <x:v>Payroll country</x:v>
      </x:c>
      <x:c r="C16" s="85" t="str">
        <x:v>payroll setup/UI</x:v>
      </x:c>
      <x:c r="D16" s="85" t="str">
        <x:v>IN default</x:v>
      </x:c>
      <x:c r="E16" s="85" t="str">
        <x:v>Company legal country</x:v>
      </x:c>
      <x:c r="F16" s="85" t="str">
        <x:v>P1</x:v>
      </x:c>
      <x:c r="G16" s="85" t="str">
        <x:v>Fixed: explicit Company legal-country source; UI derives it; tax profiles must match; focused tests passed</x:v>
      </x:c>
      <x:c r="H16" s="85" t="str">
        <x:v>2026-09-17</x:v>
      </x:c>
    </x:row>
    <x:row r="17">
      <x:c r="A17" s="85" t="str">
        <x:v>HC-012</x:v>
      </x:c>
      <x:c r="B17" s="85" t="str">
        <x:v>Module rollout</x:v>
      </x:c>
      <x:c r="C17" s="85" t="str">
        <x:v>backend module gates and CompanyModuleEntitlement</x:v>
      </x:c>
      <x:c r="D17" s="85" t="str">
        <x:v>Tenant allowlists with inconsistent empty semantics</x:v>
      </x:c>
      <x:c r="E17" s="85" t="str">
        <x:v>Company module entitlements</x:v>
      </x:c>
      <x:c r="F17" s="85" t="str">
        <x:v>P1</x:v>
      </x:c>
      <x:c r="G17" s="85" t="str">
        <x:v>Fixed; migration applied and verified in staging; scoped Modules &amp; Features administration implemented with focused tests</x:v>
      </x:c>
      <x:c r="H17" s="85" t="str">
        <x:v>2026-09-22</x:v>
      </x:c>
    </x:row>
    <x:row r="18">
      <x:c r="A18" s="85" t="str">
        <x:v>HC-013</x:v>
      </x:c>
      <x:c r="B18" s="85" t="str">
        <x:v>Version labels</x:v>
      </x:c>
      <x:c r="C18" s="85" t="str">
        <x:v>backend/frontend active product labels and package targets</x:v>
      </x:c>
      <x:c r="D18" s="85" t="str">
        <x:v>V1/V2/Lite/Legacy product terminology</x:v>
      </x:c>
      <x:c r="E18" s="85" t="str">
        <x:v>Canonical unversioned product names</x:v>
      </x:c>
      <x:c r="F18" s="85" t="str">
        <x:v>P2</x:v>
      </x:c>
      <x:c r="G18" s="85" t="str">
        <x:v>Fixed for UI, environment and package targets; internal compatibility identifiers, immutable migrations and encrypted-data markers remain where contract safety requires them</x:v>
      </x:c>
      <x:c r="H18" s="85" t="str">
        <x:v>2026-09-18</x:v>
      </x:c>
    </x:row>
    <x:row r="19">
      <x:c r="A19" s="85" t="str">
        <x:v>HC-014</x:v>
      </x:c>
      <x:c r="B19" s="85" t="str">
        <x:v>Company settings</x:v>
      </x:c>
      <x:c r="C19" s="85" t="str">
        <x:v>backend/src/modules/company-settings</x:v>
      </x:c>
      <x:c r="D19" s="85" t="str">
        <x:v>Arbitrary mutable key/company/value without audit</x:v>
      </x:c>
      <x:c r="E19" s="85" t="str">
        <x:v>Registered typed immutable keys, scope and audit</x:v>
      </x:c>
      <x:c r="F19" s="85" t="str">
        <x:v>P1</x:v>
      </x:c>
      <x:c r="G19" s="85" t="str">
        <x:v>Registry/audit foundation implemented for projects.week_start; broader settings migration open; 3 tests passed</x:v>
      </x:c>
      <x:c r="H19" s="85" t="str">
        <x:v>2026-09-17</x:v>
      </x:c>
    </x:row>
    <x:row r="20">
      <x:c r="A20" s="85" t="str">
        <x:v>HC-015</x:v>
      </x:c>
      <x:c r="B20" s="85" t="str">
        <x:v>Navigation</x:v>
      </x:c>
      <x:c r="C20" s="85" t="str">
        <x:v>frontend/config/navigation.ts and app shell</x:v>
      </x:c>
      <x:c r="D20" s="85" t="str">
        <x:v>Scattered menu and inaccessible tablet children</x:v>
      </x:c>
      <x:c r="E20" s="85" t="str">
        <x:v>12 task-first sections, two levels</x:v>
      </x:c>
      <x:c r="F20" s="85" t="str">
        <x:v>P1</x:v>
      </x:c>
      <x:c r="G20" s="85" t="str">
        <x:v>Fixed; 20 tests passed</x:v>
      </x:c>
      <x:c r="H20" s="85" t="str">
        <x:v>2026-09-17</x:v>
      </x:c>
    </x:row>
    <x:row r="21">
      <x:c r="A21" s="85" t="str">
        <x:v>HC-016</x:v>
      </x:c>
      <x:c r="B21" s="85" t="str">
        <x:v>Browser tests</x:v>
      </x:c>
      <x:c r="C21" s="85" t="str">
        <x:v>frontend/e2e</x:v>
      </x:c>
      <x:c r="D21" s="85" t="str">
        <x:v>Sign in/disabled pages accepted as Pass</x:v>
      </x:c>
      <x:c r="E21" s="85" t="str">
        <x:v>Authenticated success assertions</x:v>
      </x:c>
      <x:c r="F21" s="85" t="str">
        <x:v>P1</x:v>
      </x:c>
      <x:c r="G21" s="85" t="str">
        <x:v>Fixed in assertions and auth helper; smoke incomplete</x:v>
      </x:c>
      <x:c r="H21" s="85" t="str">
        <x:v>2026-09-17</x:v>
      </x:c>
    </x:row>
    <x:row r="22">
      <x:c r="A22" s="86" t="str">
        <x:v>HC-017</x:v>
      </x:c>
      <x:c r="B22" s="86" t="str">
        <x:v>Branch localization</x:v>
      </x:c>
      <x:c r="C22" s="86" t="str">
        <x:v>Branch DTO/form and organization setup</x:v>
      </x:c>
      <x:c r="D22" s="86" t="str">
        <x:v>Country/subdivision/timezone optional; onboarding defaulted AE</x:v>
      </x:c>
      <x:c r="E22" s="86" t="str">
        <x:v>Required ISO country/subdivision and IANA timezone; no tenant default</x:v>
      </x:c>
      <x:c r="F22" s="86" t="str">
        <x:v>P1</x:v>
      </x:c>
      <x:c r="G22" s="86" t="str">
        <x:v>Fixed; 8 focused validation tests</x:v>
      </x:c>
      <x:c r="H22" s="86" t="str">
        <x:v>2026-09-17</x:v>
      </x:c>
    </x:row>
  </x:sheetData>
  <x:pageMargins left="0.7" right="0.7" top="0.75" bottom="0.75" header="0.3" footer="0.3"/>
  <x:tableParts count="1">
    <x:tablePart xmlns:r="http://schemas.openxmlformats.org/officeDocument/2006/relationships" r:id="R1e2a6cf7e9654572"/>
  </x:tableParts>
</x:worksheet>
</file>

<file path=xl/worksheets/sheet15.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2" hidden="0" customWidth="1"/>
    <x:col min="2" max="2" width="20" hidden="0" customWidth="1"/>
    <x:col min="3" max="3" width="26" hidden="0" customWidth="1"/>
    <x:col min="4" max="4" width="36" hidden="0" customWidth="1"/>
    <x:col min="5" max="5" width="44" hidden="0" customWidth="1"/>
    <x:col min="6" max="6" width="18" hidden="0" customWidth="1"/>
    <x:col min="7" max="7" width="42" hidden="0" customWidth="1"/>
    <x:col min="8" max="8" width="46" hidden="0" customWidth="1"/>
    <x:col min="9" max="9" width="46" hidden="0" customWidth="1"/>
    <x:col min="10" max="10" width="40" hidden="0" customWidth="1"/>
    <x:col min="11" max="11" width="46" hidden="0" customWidth="1"/>
    <x:col min="12" max="12" width="22" hidden="0" customWidth="1"/>
    <x:col min="13" max="13" width="17" hidden="0" customWidth="1"/>
    <x:col min="14" max="14" width="17" hidden="0" customWidth="1"/>
    <x:col min="15" max="15" width="14" hidden="0" customWidth="1"/>
    <x:col min="16" max="16" width="28" hidden="0" customWidth="1"/>
  </x:cols>
  <x:sheetData>
    <x:row r="1" ht="24" customHeight="1">
      <x:c r="A1" s="64" t="str">
        <x:v>Menu Workflow Matrix</x:v>
      </x:c>
      <x:c r="B1" s="63"/>
      <x:c r="C1" s="63"/>
      <x:c r="D1" s="63"/>
      <x:c r="E1" s="63"/>
      <x:c r="F1" s="63"/>
      <x:c r="G1" s="63"/>
      <x:c r="H1" s="63"/>
      <x:c r="I1" s="63"/>
      <x:c r="J1" s="63"/>
      <x:c r="K1" s="63"/>
      <x:c r="L1" s="63"/>
      <x:c r="M1" s="63"/>
      <x:c r="N1" s="63"/>
      <x:c r="O1" s="63"/>
      <x:c r="P1" s="63"/>
    </x:row>
    <x:row r="2" ht="18" customHeight="1">
      <x:c r="A2" s="65" t="str">
        <x:v>Every active navigation route with validation and state expectations</x:v>
      </x:c>
    </x:row>
    <x:row r="3" ht="18" customHeight="1">
      <x:c r="A3" s="66" t="str">
        <x:v>Generated from frontend/config/navigation.ts; 69 unique routes.</x:v>
      </x:c>
    </x:row>
    <x:row r="5" ht="32" customHeight="1">
      <x:c r="A5" s="78" t="str">
        <x:v>ID</x:v>
      </x:c>
      <x:c r="B5" s="79" t="str">
        <x:v>Area</x:v>
      </x:c>
      <x:c r="C5" s="79" t="str">
        <x:v>Menu</x:v>
      </x:c>
      <x:c r="D5" s="79" t="str">
        <x:v>Route</x:v>
      </x:c>
      <x:c r="E5" s="79" t="str">
        <x:v>Permission(s)</x:v>
      </x:c>
      <x:c r="F5" s="79" t="str">
        <x:v>Capability</x:v>
      </x:c>
      <x:c r="G5" s="79" t="str">
        <x:v>Preconditions</x:v>
      </x:c>
      <x:c r="H5" s="79" t="str">
        <x:v>Happy path</x:v>
      </x:c>
      <x:c r="I5" s="79" t="str">
        <x:v>Validation / conflict</x:v>
      </x:c>
      <x:c r="J5" s="79" t="str">
        <x:v>Denied / disabled</x:v>
      </x:c>
      <x:c r="K5" s="79" t="str">
        <x:v>State handling</x:v>
      </x:c>
      <x:c r="L5" s="79" t="str">
        <x:v>Viewports</x:v>
      </x:c>
      <x:c r="M5" s="79" t="str">
        <x:v>E2E case</x:v>
      </x:c>
      <x:c r="N5" s="79" t="str">
        <x:v>Manual case</x:v>
      </x:c>
      <x:c r="O5" s="79" t="str">
        <x:v>Status</x:v>
      </x:c>
      <x:c r="P5" s="80" t="str">
        <x:v>Evidence</x:v>
      </x:c>
    </x:row>
    <x:row r="6">
      <x:c r="A6" s="84" t="str">
        <x:v>MENU-001</x:v>
      </x:c>
      <x:c r="B6" s="84" t="str">
        <x:v>Dashboard</x:v>
      </x:c>
      <x:c r="C6" s="84" t="str">
        <x:v>Dashboard</x:v>
      </x:c>
      <x:c r="D6" s="84" t="str">
        <x:v>/dashboard</x:v>
      </x:c>
      <x:c r="E6" s="84" t="str">
        <x:v>dashboard.read</x:v>
      </x:c>
      <x:c r="F6" s="84" t="str">
        <x:v>None</x:v>
      </x:c>
      <x:c r="G6" s="84" t="str">
        <x:v>Authenticated scoped persona; Company/Branch context selected when required.</x:v>
      </x:c>
      <x:c r="H6" s="84" t="str">
        <x:v>Open Dashboard; verify list/detail or workspace actions permitted by role.</x:v>
      </x:c>
      <x:c r="I6" s="84" t="str">
        <x:v>Required fields, foreign IDs, stale version, double submit and validation messages.</x:v>
      </x:c>
      <x:c r="J6" s="84" t="str">
        <x:v>Denied is explicit; no data leak; disabled/not configured is not Pass.</x:v>
      </x:c>
      <x:c r="K6" s="84" t="str">
        <x:v>Loading, empty, not configured, degraded, error, retry and conflict are distinct.</x:v>
      </x:c>
      <x:c r="L6" s="84" t="str">
        <x:v>Desktop + tablet + mobile</x:v>
      </x:c>
      <x:c r="M6" s="84" t="str">
        <x:v>E2E-MENU-001</x:v>
      </x:c>
      <x:c r="N6" s="84" t="str">
        <x:v>MAN-MENU-001</x:v>
      </x:c>
      <x:c r="O6" s="84" t="str">
        <x:v>Historical authenticated surface passed; full workflow Not Run</x:v>
      </x:c>
      <x:c r="P6" s="84" t="str">
        <x:v>backend/.qa-runs/authenticated-smoke-playwright-20260918T104017949Z-9975f254.log</x:v>
      </x:c>
    </x:row>
    <x:row r="7">
      <x:c r="A7" s="85" t="str">
        <x:v>MENU-002</x:v>
      </x:c>
      <x:c r="B7" s="85" t="str">
        <x:v>My Work</x:v>
      </x:c>
      <x:c r="C7" s="85" t="str">
        <x:v>Overview</x:v>
      </x:c>
      <x:c r="D7" s="85" t="str">
        <x:v>/my-workspace</x:v>
      </x:c>
      <x:c r="E7" s="85" t="str">
        <x:v>hr.self.read</x:v>
      </x:c>
      <x:c r="F7" s="85" t="str">
        <x:v>None</x:v>
      </x:c>
      <x:c r="G7" s="85" t="str">
        <x:v>Authenticated scoped persona; Company/Branch context selected when required.</x:v>
      </x:c>
      <x:c r="H7" s="85" t="str">
        <x:v>Open Overview; verify list/detail or workspace actions permitted by role.</x:v>
      </x:c>
      <x:c r="I7" s="85" t="str">
        <x:v>Required fields, foreign IDs, stale version, double submit and validation messages.</x:v>
      </x:c>
      <x:c r="J7" s="85" t="str">
        <x:v>Denied is explicit; no data leak; disabled/not configured is not Pass.</x:v>
      </x:c>
      <x:c r="K7" s="85" t="str">
        <x:v>Loading, empty, not configured, degraded, error, retry and conflict are distinct.</x:v>
      </x:c>
      <x:c r="L7" s="85" t="str">
        <x:v>Desktop + tablet + mobile</x:v>
      </x:c>
      <x:c r="M7" s="85" t="str">
        <x:v>E2E-MENU-002</x:v>
      </x:c>
      <x:c r="N7" s="85" t="str">
        <x:v>MAN-MENU-002</x:v>
      </x:c>
      <x:c r="O7" s="85" t="str">
        <x:v>Historical authenticated surface passed; full workflow Not Run</x:v>
      </x:c>
      <x:c r="P7" s="85" t="str">
        <x:v>backend/.qa-runs/authenticated-smoke-playwright-20260918T104017949Z-9975f254.log</x:v>
      </x:c>
    </x:row>
    <x:row r="8">
      <x:c r="A8" s="85" t="str">
        <x:v>MENU-003</x:v>
      </x:c>
      <x:c r="B8" s="85" t="str">
        <x:v>My Work</x:v>
      </x:c>
      <x:c r="C8" s="85" t="str">
        <x:v>Approvals &amp; clearance</x:v>
      </x:c>
      <x:c r="D8" s="85" t="str">
        <x:v>/my-workspace/approvals</x:v>
      </x:c>
      <x:c r="E8" s="85" t="str">
        <x:v>hr.self.read OR hr.clearance.department.read OR hr.clearance.department.manage</x:v>
      </x:c>
      <x:c r="F8" s="85" t="str">
        <x:v>None</x:v>
      </x:c>
      <x:c r="G8" s="85" t="str">
        <x:v>Authenticated scoped persona; Company/Branch context selected when required.</x:v>
      </x:c>
      <x:c r="H8" s="85" t="str">
        <x:v>Open Approvals &amp; clearance; verify list/detail or workspace actions permitted by role.</x:v>
      </x:c>
      <x:c r="I8" s="85" t="str">
        <x:v>Required fields, foreign IDs, stale version, double submit and validation messages.</x:v>
      </x:c>
      <x:c r="J8" s="85" t="str">
        <x:v>Denied is explicit; no data leak; disabled/not configured is not Pass.</x:v>
      </x:c>
      <x:c r="K8" s="85" t="str">
        <x:v>Loading, empty, not configured, degraded, error, retry and conflict are distinct.</x:v>
      </x:c>
      <x:c r="L8" s="85" t="str">
        <x:v>Desktop + tablet + mobile</x:v>
      </x:c>
      <x:c r="M8" s="85" t="str">
        <x:v>E2E-MENU-003</x:v>
      </x:c>
      <x:c r="N8" s="85" t="str">
        <x:v>MAN-MENU-003</x:v>
      </x:c>
      <x:c r="O8" s="85" t="str">
        <x:v>Historical authenticated surface passed; full workflow Not Run</x:v>
      </x:c>
      <x:c r="P8" s="85" t="str">
        <x:v>backend/.qa-runs/authenticated-smoke-playwright-20260918T104017949Z-9975f254.log</x:v>
      </x:c>
    </x:row>
    <x:row r="9">
      <x:c r="A9" s="85" t="str">
        <x:v>MENU-004</x:v>
      </x:c>
      <x:c r="B9" s="85" t="str">
        <x:v>My Work</x:v>
      </x:c>
      <x:c r="C9" s="85" t="str">
        <x:v>My calendar</x:v>
      </x:c>
      <x:c r="D9" s="85" t="str">
        <x:v>/my-workspace/calendar</x:v>
      </x:c>
      <x:c r="E9" s="85" t="str">
        <x:v>hr.self.read</x:v>
      </x:c>
      <x:c r="F9" s="85" t="str">
        <x:v>None</x:v>
      </x:c>
      <x:c r="G9" s="85" t="str">
        <x:v>Authenticated scoped persona; Company/Branch context selected when required.</x:v>
      </x:c>
      <x:c r="H9" s="85" t="str">
        <x:v>Open My calendar; verify list/detail or workspace actions permitted by role.</x:v>
      </x:c>
      <x:c r="I9" s="85" t="str">
        <x:v>Required fields, foreign IDs, stale version, double submit and validation messages.</x:v>
      </x:c>
      <x:c r="J9" s="85" t="str">
        <x:v>Denied is explicit; no data leak; disabled/not configured is not Pass.</x:v>
      </x:c>
      <x:c r="K9" s="85" t="str">
        <x:v>Loading, empty, not configured, degraded, error, retry and conflict are distinct.</x:v>
      </x:c>
      <x:c r="L9" s="85" t="str">
        <x:v>Desktop + tablet + mobile</x:v>
      </x:c>
      <x:c r="M9" s="85" t="str">
        <x:v>E2E-MENU-004</x:v>
      </x:c>
      <x:c r="N9" s="85" t="str">
        <x:v>MAN-MENU-004</x:v>
      </x:c>
      <x:c r="O9" s="85" t="str">
        <x:v>Historical authenticated surface passed; full workflow Not Run</x:v>
      </x:c>
      <x:c r="P9" s="85" t="str">
        <x:v>backend/.qa-runs/authenticated-smoke-playwright-20260918T104017949Z-9975f254.log</x:v>
      </x:c>
    </x:row>
    <x:row r="10">
      <x:c r="A10" s="85" t="str">
        <x:v>MENU-005</x:v>
      </x:c>
      <x:c r="B10" s="85" t="str">
        <x:v>My Work</x:v>
      </x:c>
      <x:c r="C10" s="85" t="str">
        <x:v>HR requests</x:v>
      </x:c>
      <x:c r="D10" s="85" t="str">
        <x:v>/my-workspace/hr-requests</x:v>
      </x:c>
      <x:c r="E10" s="85" t="str">
        <x:v>hr.self.read</x:v>
      </x:c>
      <x:c r="F10" s="85" t="str">
        <x:v>None</x:v>
      </x:c>
      <x:c r="G10" s="85" t="str">
        <x:v>Authenticated scoped persona; Company/Branch context selected when required.</x:v>
      </x:c>
      <x:c r="H10" s="85" t="str">
        <x:v>Open HR requests; verify list/detail or workspace actions permitted by role.</x:v>
      </x:c>
      <x:c r="I10" s="85" t="str">
        <x:v>Required fields, foreign IDs, stale version, double submit and validation messages.</x:v>
      </x:c>
      <x:c r="J10" s="85" t="str">
        <x:v>Denied is explicit; no data leak; disabled/not configured is not Pass.</x:v>
      </x:c>
      <x:c r="K10" s="85" t="str">
        <x:v>Loading, empty, not configured, degraded, error, retry and conflict are distinct.</x:v>
      </x:c>
      <x:c r="L10" s="85" t="str">
        <x:v>Desktop + tablet + mobile</x:v>
      </x:c>
      <x:c r="M10" s="85" t="str">
        <x:v>E2E-MENU-005</x:v>
      </x:c>
      <x:c r="N10" s="85" t="str">
        <x:v>MAN-MENU-005</x:v>
      </x:c>
      <x:c r="O10" s="85" t="str">
        <x:v>Historical authenticated surface passed; full workflow Not Run</x:v>
      </x:c>
      <x:c r="P10" s="85" t="str">
        <x:v>backend/.qa-runs/authenticated-smoke-playwright-20260918T104017949Z-9975f254.log</x:v>
      </x:c>
    </x:row>
    <x:row r="11">
      <x:c r="A11" s="85" t="str">
        <x:v>MENU-006</x:v>
      </x:c>
      <x:c r="B11" s="85" t="str">
        <x:v>My Work</x:v>
      </x:c>
      <x:c r="C11" s="85" t="str">
        <x:v>Apply leave</x:v>
      </x:c>
      <x:c r="D11" s="85" t="str">
        <x:v>/my-workspace/leave/apply</x:v>
      </x:c>
      <x:c r="E11" s="85" t="str">
        <x:v>hr.self.read OR hr.self.manage</x:v>
      </x:c>
      <x:c r="F11" s="85" t="str">
        <x:v>None</x:v>
      </x:c>
      <x:c r="G11" s="85" t="str">
        <x:v>Authenticated scoped persona; Company/Branch context selected when required.</x:v>
      </x:c>
      <x:c r="H11" s="85" t="str">
        <x:v>Open Apply leave; verify list/detail or workspace actions permitted by role.</x:v>
      </x:c>
      <x:c r="I11" s="85" t="str">
        <x:v>Required fields, foreign IDs, stale version, double submit and validation messages.</x:v>
      </x:c>
      <x:c r="J11" s="85" t="str">
        <x:v>Denied is explicit; no data leak; disabled/not configured is not Pass.</x:v>
      </x:c>
      <x:c r="K11" s="85" t="str">
        <x:v>Loading, empty, not configured, degraded, error, retry and conflict are distinct.</x:v>
      </x:c>
      <x:c r="L11" s="85" t="str">
        <x:v>Desktop + tablet + mobile</x:v>
      </x:c>
      <x:c r="M11" s="85" t="str">
        <x:v>E2E-MENU-006</x:v>
      </x:c>
      <x:c r="N11" s="85" t="str">
        <x:v>MAN-MENU-006</x:v>
      </x:c>
      <x:c r="O11" s="85" t="str">
        <x:v>Historical authenticated surface passed; full workflow Not Run</x:v>
      </x:c>
      <x:c r="P11" s="85" t="str">
        <x:v>backend/.qa-runs/authenticated-smoke-playwright-20260918T104017949Z-9975f254.log</x:v>
      </x:c>
    </x:row>
    <x:row r="12">
      <x:c r="A12" s="85" t="str">
        <x:v>MENU-007</x:v>
      </x:c>
      <x:c r="B12" s="85" t="str">
        <x:v>My Work</x:v>
      </x:c>
      <x:c r="C12" s="85" t="str">
        <x:v>Onboarding</x:v>
      </x:c>
      <x:c r="D12" s="85" t="str">
        <x:v>/my-workspace/onboarding</x:v>
      </x:c>
      <x:c r="E12" s="85" t="str">
        <x:v>hr.self.read</x:v>
      </x:c>
      <x:c r="F12" s="85" t="str">
        <x:v>onboardingNav</x:v>
      </x:c>
      <x:c r="G12" s="85" t="str">
        <x:v>Authenticated scoped persona; Company/Branch context selected when required.</x:v>
      </x:c>
      <x:c r="H12" s="85" t="str">
        <x:v>Open Onboarding; verify list/detail or workspace actions permitted by role.</x:v>
      </x:c>
      <x:c r="I12" s="85" t="str">
        <x:v>Required fields, foreign IDs, stale version, double submit and validation messages.</x:v>
      </x:c>
      <x:c r="J12" s="85" t="str">
        <x:v>Denied is explicit; no data leak; disabled/not configured is not Pass.</x:v>
      </x:c>
      <x:c r="K12" s="85" t="str">
        <x:v>Loading, empty, not configured, degraded, error, retry and conflict are distinct.</x:v>
      </x:c>
      <x:c r="L12" s="85" t="str">
        <x:v>Desktop + tablet + mobile</x:v>
      </x:c>
      <x:c r="M12" s="85" t="str">
        <x:v>E2E-MENU-007</x:v>
      </x:c>
      <x:c r="N12" s="85" t="str">
        <x:v>MAN-MENU-007</x:v>
      </x:c>
      <x:c r="O12" s="85" t="str">
        <x:v>Historical authenticated surface passed; full workflow Not Run</x:v>
      </x:c>
      <x:c r="P12" s="85" t="str">
        <x:v>backend/.qa-runs/authenticated-smoke-playwright-20260918T104017949Z-9975f254.log</x:v>
      </x:c>
    </x:row>
    <x:row r="13">
      <x:c r="A13" s="85" t="str">
        <x:v>MENU-008</x:v>
      </x:c>
      <x:c r="B13" s="85" t="str">
        <x:v>My Work</x:v>
      </x:c>
      <x:c r="C13" s="85" t="str">
        <x:v>My projects</x:v>
      </x:c>
      <x:c r="D13" s="85" t="str">
        <x:v>/my-workspace/projects</x:v>
      </x:c>
      <x:c r="E13" s="85" t="str">
        <x:v>projects.tasks.work</x:v>
      </x:c>
      <x:c r="F13" s="85" t="str">
        <x:v>projectsNav</x:v>
      </x:c>
      <x:c r="G13" s="85" t="str">
        <x:v>Authenticated scoped persona; Company/Branch context selected when required.</x:v>
      </x:c>
      <x:c r="H13" s="85" t="str">
        <x:v>Open My projects; verify list/detail or workspace actions permitted by role.</x:v>
      </x:c>
      <x:c r="I13" s="85" t="str">
        <x:v>Required fields, foreign IDs, stale version, double submit and validation messages.</x:v>
      </x:c>
      <x:c r="J13" s="85" t="str">
        <x:v>Denied is explicit; no data leak; disabled/not configured is not Pass.</x:v>
      </x:c>
      <x:c r="K13" s="85" t="str">
        <x:v>Loading, empty, not configured, degraded, error, retry and conflict are distinct.</x:v>
      </x:c>
      <x:c r="L13" s="85" t="str">
        <x:v>Desktop + tablet + mobile</x:v>
      </x:c>
      <x:c r="M13" s="85" t="str">
        <x:v>E2E-MENU-008</x:v>
      </x:c>
      <x:c r="N13" s="85" t="str">
        <x:v>MAN-MENU-008</x:v>
      </x:c>
      <x:c r="O13" s="85" t="str">
        <x:v>Historical authenticated surface passed; full workflow Not Run</x:v>
      </x:c>
      <x:c r="P13" s="85" t="str">
        <x:v>backend/.qa-runs/authenticated-smoke-playwright-20260918T104017949Z-9975f254.log</x:v>
      </x:c>
    </x:row>
    <x:row r="14">
      <x:c r="A14" s="85" t="str">
        <x:v>MENU-009</x:v>
      </x:c>
      <x:c r="B14" s="85" t="str">
        <x:v>My Work</x:v>
      </x:c>
      <x:c r="C14" s="85" t="str">
        <x:v>My timesheets</x:v>
      </x:c>
      <x:c r="D14" s="85" t="str">
        <x:v>/my-workspace/timesheets</x:v>
      </x:c>
      <x:c r="E14" s="85" t="str">
        <x:v>projects.timesheets.submit</x:v>
      </x:c>
      <x:c r="F14" s="85" t="str">
        <x:v>projectsNav</x:v>
      </x:c>
      <x:c r="G14" s="85" t="str">
        <x:v>Authenticated scoped persona; Company/Branch context selected when required.</x:v>
      </x:c>
      <x:c r="H14" s="85" t="str">
        <x:v>Open My timesheets; verify list/detail or workspace actions permitted by role.</x:v>
      </x:c>
      <x:c r="I14" s="85" t="str">
        <x:v>Required fields, foreign IDs, stale version, double submit and validation messages.</x:v>
      </x:c>
      <x:c r="J14" s="85" t="str">
        <x:v>Denied is explicit; no data leak; disabled/not configured is not Pass.</x:v>
      </x:c>
      <x:c r="K14" s="85" t="str">
        <x:v>Loading, empty, not configured, degraded, error, retry and conflict are distinct.</x:v>
      </x:c>
      <x:c r="L14" s="85" t="str">
        <x:v>Desktop + tablet + mobile</x:v>
      </x:c>
      <x:c r="M14" s="85" t="str">
        <x:v>E2E-MENU-009</x:v>
      </x:c>
      <x:c r="N14" s="85" t="str">
        <x:v>MAN-MENU-009</x:v>
      </x:c>
      <x:c r="O14" s="85" t="str">
        <x:v>Historical authenticated surface passed; full workflow Not Run</x:v>
      </x:c>
      <x:c r="P14" s="85" t="str">
        <x:v>backend/.qa-runs/authenticated-smoke-playwright-20260918T104017949Z-9975f254.log</x:v>
      </x:c>
    </x:row>
    <x:row r="15">
      <x:c r="A15" s="85" t="str">
        <x:v>MENU-010</x:v>
      </x:c>
      <x:c r="B15" s="85" t="str">
        <x:v>People</x:v>
      </x:c>
      <x:c r="C15" s="85" t="str">
        <x:v>Employee documents</x:v>
      </x:c>
      <x:c r="D15" s="85" t="str">
        <x:v>/hr/employee-documents</x:v>
      </x:c>
      <x:c r="E15" s="85" t="str">
        <x:v>hr.documents.read</x:v>
      </x:c>
      <x:c r="F15" s="85" t="str">
        <x:v>None</x:v>
      </x:c>
      <x:c r="G15" s="85" t="str">
        <x:v>Authenticated scoped persona; Company/Branch context selected when required.</x:v>
      </x:c>
      <x:c r="H15" s="85" t="str">
        <x:v>Open Employee documents; verify list/detail or workspace actions permitted by role.</x:v>
      </x:c>
      <x:c r="I15" s="85" t="str">
        <x:v>Required fields, foreign IDs, stale version, double submit and validation messages.</x:v>
      </x:c>
      <x:c r="J15" s="85" t="str">
        <x:v>Denied is explicit; no data leak; disabled/not configured is not Pass.</x:v>
      </x:c>
      <x:c r="K15" s="85" t="str">
        <x:v>Loading, empty, not configured, degraded, error, retry and conflict are distinct.</x:v>
      </x:c>
      <x:c r="L15" s="85" t="str">
        <x:v>Desktop + tablet + mobile</x:v>
      </x:c>
      <x:c r="M15" s="85" t="str">
        <x:v>E2E-MENU-010</x:v>
      </x:c>
      <x:c r="N15" s="85" t="str">
        <x:v>MAN-MENU-010</x:v>
      </x:c>
      <x:c r="O15" s="85" t="str">
        <x:v>Historical authenticated surface passed; full workflow Not Run</x:v>
      </x:c>
      <x:c r="P15" s="85" t="str">
        <x:v>backend/.qa-runs/authenticated-smoke-playwright-20260918T104017949Z-9975f254.log</x:v>
      </x:c>
    </x:row>
    <x:row r="16">
      <x:c r="A16" s="85" t="str">
        <x:v>MENU-011</x:v>
      </x:c>
      <x:c r="B16" s="85" t="str">
        <x:v>People</x:v>
      </x:c>
      <x:c r="C16" s="85" t="str">
        <x:v>Employee onboarding</x:v>
      </x:c>
      <x:c r="D16" s="85" t="str">
        <x:v>/hr/employee-onboarding</x:v>
      </x:c>
      <x:c r="E16" s="85" t="str">
        <x:v>hr.onboarding.read</x:v>
      </x:c>
      <x:c r="F16" s="85" t="str">
        <x:v>onboardingNav</x:v>
      </x:c>
      <x:c r="G16" s="85" t="str">
        <x:v>Authenticated scoped persona; Company/Branch context selected when required.</x:v>
      </x:c>
      <x:c r="H16" s="85" t="str">
        <x:v>Open Employee onboarding; verify list/detail or workspace actions permitted by role.</x:v>
      </x:c>
      <x:c r="I16" s="85" t="str">
        <x:v>Required fields, foreign IDs, stale version, double submit and validation messages.</x:v>
      </x:c>
      <x:c r="J16" s="85" t="str">
        <x:v>Denied is explicit; no data leak; disabled/not configured is not Pass.</x:v>
      </x:c>
      <x:c r="K16" s="85" t="str">
        <x:v>Loading, empty, not configured, degraded, error, retry and conflict are distinct.</x:v>
      </x:c>
      <x:c r="L16" s="85" t="str">
        <x:v>Desktop + tablet + mobile</x:v>
      </x:c>
      <x:c r="M16" s="85" t="str">
        <x:v>E2E-MENU-011</x:v>
      </x:c>
      <x:c r="N16" s="85" t="str">
        <x:v>MAN-MENU-011</x:v>
      </x:c>
      <x:c r="O16" s="85" t="str">
        <x:v>Historical authenticated surface passed; full workflow Not Run</x:v>
      </x:c>
      <x:c r="P16" s="85" t="str">
        <x:v>backend/.qa-runs/authenticated-smoke-playwright-20260918T104017949Z-9975f254.log</x:v>
      </x:c>
    </x:row>
    <x:row r="17">
      <x:c r="A17" s="85" t="str">
        <x:v>MENU-012</x:v>
      </x:c>
      <x:c r="B17" s="85" t="str">
        <x:v>People</x:v>
      </x:c>
      <x:c r="C17" s="85" t="str">
        <x:v>Employee separations</x:v>
      </x:c>
      <x:c r="D17" s="85" t="str">
        <x:v>/hr/employee-separations</x:v>
      </x:c>
      <x:c r="E17" s="85" t="str">
        <x:v>hr.employees.read OR hr.employees.manage</x:v>
      </x:c>
      <x:c r="F17" s="85" t="str">
        <x:v>None</x:v>
      </x:c>
      <x:c r="G17" s="85" t="str">
        <x:v>Authenticated scoped persona; Company/Branch context selected when required.</x:v>
      </x:c>
      <x:c r="H17" s="85" t="str">
        <x:v>Open Employee separations; verify list/detail or workspace actions permitted by role.</x:v>
      </x:c>
      <x:c r="I17" s="85" t="str">
        <x:v>Required fields, foreign IDs, stale version, double submit and validation messages.</x:v>
      </x:c>
      <x:c r="J17" s="85" t="str">
        <x:v>Denied is explicit; no data leak; disabled/not configured is not Pass.</x:v>
      </x:c>
      <x:c r="K17" s="85" t="str">
        <x:v>Loading, empty, not configured, degraded, error, retry and conflict are distinct.</x:v>
      </x:c>
      <x:c r="L17" s="85" t="str">
        <x:v>Desktop + tablet + mobile</x:v>
      </x:c>
      <x:c r="M17" s="85" t="str">
        <x:v>E2E-MENU-012</x:v>
      </x:c>
      <x:c r="N17" s="85" t="str">
        <x:v>MAN-MENU-012</x:v>
      </x:c>
      <x:c r="O17" s="85" t="str">
        <x:v>Historical authenticated surface passed; full workflow Not Run</x:v>
      </x:c>
      <x:c r="P17" s="85" t="str">
        <x:v>backend/.qa-runs/authenticated-smoke-playwright-20260918T104017949Z-9975f254.log</x:v>
      </x:c>
    </x:row>
    <x:row r="18">
      <x:c r="A18" s="85" t="str">
        <x:v>MENU-013</x:v>
      </x:c>
      <x:c r="B18" s="85" t="str">
        <x:v>People</x:v>
      </x:c>
      <x:c r="C18" s="85" t="str">
        <x:v>Employees</x:v>
      </x:c>
      <x:c r="D18" s="85" t="str">
        <x:v>/hr/employees</x:v>
      </x:c>
      <x:c r="E18" s="85" t="str">
        <x:v>hr.employees.read</x:v>
      </x:c>
      <x:c r="F18" s="85" t="str">
        <x:v>None</x:v>
      </x:c>
      <x:c r="G18" s="85" t="str">
        <x:v>Authenticated scoped persona; Company/Branch context selected when required.</x:v>
      </x:c>
      <x:c r="H18" s="85" t="str">
        <x:v>Open Employees; verify list/detail or workspace actions permitted by role.</x:v>
      </x:c>
      <x:c r="I18" s="85" t="str">
        <x:v>Required fields, foreign IDs, stale version, double submit and validation messages.</x:v>
      </x:c>
      <x:c r="J18" s="85" t="str">
        <x:v>Denied is explicit; no data leak; disabled/not configured is not Pass.</x:v>
      </x:c>
      <x:c r="K18" s="85" t="str">
        <x:v>Loading, empty, not configured, degraded, error, retry and conflict are distinct.</x:v>
      </x:c>
      <x:c r="L18" s="85" t="str">
        <x:v>Desktop + tablet + mobile</x:v>
      </x:c>
      <x:c r="M18" s="85" t="str">
        <x:v>E2E-MENU-013</x:v>
      </x:c>
      <x:c r="N18" s="85" t="str">
        <x:v>MAN-MENU-013</x:v>
      </x:c>
      <x:c r="O18" s="85" t="str">
        <x:v>Historical authenticated surface passed; full workflow Not Run</x:v>
      </x:c>
      <x:c r="P18" s="85" t="str">
        <x:v>backend/.qa-runs/authenticated-smoke-playwright-20260918T104017949Z-9975f254.log</x:v>
      </x:c>
    </x:row>
    <x:row r="19">
      <x:c r="A19" s="85" t="str">
        <x:v>MENU-014</x:v>
      </x:c>
      <x:c r="B19" s="85" t="str">
        <x:v>People</x:v>
      </x:c>
      <x:c r="C19" s="85" t="str">
        <x:v>HR requests</x:v>
      </x:c>
      <x:c r="D19" s="85" t="str">
        <x:v>/hr/hr-requests</x:v>
      </x:c>
      <x:c r="E19" s="85" t="str">
        <x:v>hr.requests.read</x:v>
      </x:c>
      <x:c r="F19" s="85" t="str">
        <x:v>None</x:v>
      </x:c>
      <x:c r="G19" s="85" t="str">
        <x:v>Authenticated scoped persona; Company/Branch context selected when required.</x:v>
      </x:c>
      <x:c r="H19" s="85" t="str">
        <x:v>Open HR requests; verify list/detail or workspace actions permitted by role.</x:v>
      </x:c>
      <x:c r="I19" s="85" t="str">
        <x:v>Required fields, foreign IDs, stale version, double submit and validation messages.</x:v>
      </x:c>
      <x:c r="J19" s="85" t="str">
        <x:v>Denied is explicit; no data leak; disabled/not configured is not Pass.</x:v>
      </x:c>
      <x:c r="K19" s="85" t="str">
        <x:v>Loading, empty, not configured, degraded, error, retry and conflict are distinct.</x:v>
      </x:c>
      <x:c r="L19" s="85" t="str">
        <x:v>Desktop + tablet + mobile</x:v>
      </x:c>
      <x:c r="M19" s="85" t="str">
        <x:v>E2E-MENU-014</x:v>
      </x:c>
      <x:c r="N19" s="85" t="str">
        <x:v>MAN-MENU-014</x:v>
      </x:c>
      <x:c r="O19" s="85" t="str">
        <x:v>Historical authenticated surface passed; full workflow Not Run</x:v>
      </x:c>
      <x:c r="P19" s="85" t="str">
        <x:v>backend/.qa-runs/authenticated-smoke-playwright-20260918T104017949Z-9975f254.log</x:v>
      </x:c>
    </x:row>
    <x:row r="20">
      <x:c r="A20" s="85" t="str">
        <x:v>MENU-015</x:v>
      </x:c>
      <x:c r="B20" s="85" t="str">
        <x:v>Recruitment</x:v>
      </x:c>
      <x:c r="C20" s="85" t="str">
        <x:v>Dashboard</x:v>
      </x:c>
      <x:c r="D20" s="85" t="str">
        <x:v>/hr/recruitment</x:v>
      </x:c>
      <x:c r="E20" s="85" t="str">
        <x:v>hr.recruitment.read</x:v>
      </x:c>
      <x:c r="F20" s="85" t="str">
        <x:v>recruitmentNav</x:v>
      </x:c>
      <x:c r="G20" s="85" t="str">
        <x:v>Authenticated scoped persona; Company/Branch context selected when required.</x:v>
      </x:c>
      <x:c r="H20" s="85" t="str">
        <x:v>Open Dashboard; verify list/detail or workspace actions permitted by role.</x:v>
      </x:c>
      <x:c r="I20" s="85" t="str">
        <x:v>Required fields, foreign IDs, stale version, double submit and validation messages.</x:v>
      </x:c>
      <x:c r="J20" s="85" t="str">
        <x:v>Denied is explicit; no data leak; disabled/not configured is not Pass.</x:v>
      </x:c>
      <x:c r="K20" s="85" t="str">
        <x:v>Loading, empty, not configured, degraded, error, retry and conflict are distinct.</x:v>
      </x:c>
      <x:c r="L20" s="85" t="str">
        <x:v>Desktop + tablet + mobile</x:v>
      </x:c>
      <x:c r="M20" s="85" t="str">
        <x:v>E2E-MENU-015</x:v>
      </x:c>
      <x:c r="N20" s="85" t="str">
        <x:v>MAN-MENU-015</x:v>
      </x:c>
      <x:c r="O20" s="85" t="str">
        <x:v>Historical authenticated surface passed; full workflow Not Run</x:v>
      </x:c>
      <x:c r="P20" s="85" t="str">
        <x:v>backend/.qa-runs/authenticated-smoke-playwright-20260918T104017949Z-9975f254.log</x:v>
      </x:c>
    </x:row>
    <x:row r="21">
      <x:c r="A21" s="85" t="str">
        <x:v>MENU-016</x:v>
      </x:c>
      <x:c r="B21" s="85" t="str">
        <x:v>Recruitment</x:v>
      </x:c>
      <x:c r="C21" s="85" t="str">
        <x:v>Applications</x:v>
      </x:c>
      <x:c r="D21" s="85" t="str">
        <x:v>/hr/recruitment/applications</x:v>
      </x:c>
      <x:c r="E21" s="85" t="str">
        <x:v>hr.recruitment.read</x:v>
      </x:c>
      <x:c r="F21" s="85" t="str">
        <x:v>recruitmentNav</x:v>
      </x:c>
      <x:c r="G21" s="85" t="str">
        <x:v>Authenticated scoped persona; Company/Branch context selected when required.</x:v>
      </x:c>
      <x:c r="H21" s="85" t="str">
        <x:v>Open Applications; verify list/detail or workspace actions permitted by role.</x:v>
      </x:c>
      <x:c r="I21" s="85" t="str">
        <x:v>Required fields, foreign IDs, stale version, double submit and validation messages.</x:v>
      </x:c>
      <x:c r="J21" s="85" t="str">
        <x:v>Denied is explicit; no data leak; disabled/not configured is not Pass.</x:v>
      </x:c>
      <x:c r="K21" s="85" t="str">
        <x:v>Loading, empty, not configured, degraded, error, retry and conflict are distinct.</x:v>
      </x:c>
      <x:c r="L21" s="85" t="str">
        <x:v>Desktop + tablet + mobile</x:v>
      </x:c>
      <x:c r="M21" s="85" t="str">
        <x:v>E2E-MENU-016</x:v>
      </x:c>
      <x:c r="N21" s="85" t="str">
        <x:v>MAN-MENU-016</x:v>
      </x:c>
      <x:c r="O21" s="85" t="str">
        <x:v>Historical authenticated surface passed; full workflow Not Run</x:v>
      </x:c>
      <x:c r="P21" s="85" t="str">
        <x:v>backend/.qa-runs/authenticated-smoke-playwright-20260918T104017949Z-9975f254.log</x:v>
      </x:c>
    </x:row>
    <x:row r="22">
      <x:c r="A22" s="85" t="str">
        <x:v>MENU-017</x:v>
      </x:c>
      <x:c r="B22" s="85" t="str">
        <x:v>Recruitment</x:v>
      </x:c>
      <x:c r="C22" s="85" t="str">
        <x:v>Candidates</x:v>
      </x:c>
      <x:c r="D22" s="85" t="str">
        <x:v>/hr/recruitment/candidates</x:v>
      </x:c>
      <x:c r="E22" s="85" t="str">
        <x:v>hr.recruitment.read</x:v>
      </x:c>
      <x:c r="F22" s="85" t="str">
        <x:v>recruitmentNav</x:v>
      </x:c>
      <x:c r="G22" s="85" t="str">
        <x:v>Authenticated scoped persona; Company/Branch context selected when required.</x:v>
      </x:c>
      <x:c r="H22" s="85" t="str">
        <x:v>Open Candidates; verify list/detail or workspace actions permitted by role.</x:v>
      </x:c>
      <x:c r="I22" s="85" t="str">
        <x:v>Required fields, foreign IDs, stale version, double submit and validation messages.</x:v>
      </x:c>
      <x:c r="J22" s="85" t="str">
        <x:v>Denied is explicit; no data leak; disabled/not configured is not Pass.</x:v>
      </x:c>
      <x:c r="K22" s="85" t="str">
        <x:v>Loading, empty, not configured, degraded, error, retry and conflict are distinct.</x:v>
      </x:c>
      <x:c r="L22" s="85" t="str">
        <x:v>Desktop + tablet + mobile</x:v>
      </x:c>
      <x:c r="M22" s="85" t="str">
        <x:v>E2E-MENU-017</x:v>
      </x:c>
      <x:c r="N22" s="85" t="str">
        <x:v>MAN-MENU-017</x:v>
      </x:c>
      <x:c r="O22" s="85" t="str">
        <x:v>Historical authenticated surface passed; full workflow Not Run</x:v>
      </x:c>
      <x:c r="P22" s="85" t="str">
        <x:v>backend/.qa-runs/authenticated-smoke-playwright-20260918T104017949Z-9975f254.log</x:v>
      </x:c>
    </x:row>
    <x:row r="23">
      <x:c r="A23" s="85" t="str">
        <x:v>MENU-018</x:v>
      </x:c>
      <x:c r="B23" s="85" t="str">
        <x:v>Recruitment</x:v>
      </x:c>
      <x:c r="C23" s="85" t="str">
        <x:v>Recruitment delivery</x:v>
      </x:c>
      <x:c r="D23" s="85" t="str">
        <x:v>/hr/recruitment/delivery</x:v>
      </x:c>
      <x:c r="E23" s="85" t="str">
        <x:v>hr.recruitment.delivery.read</x:v>
      </x:c>
      <x:c r="F23" s="85" t="str">
        <x:v>deliveryOperationsNav</x:v>
      </x:c>
      <x:c r="G23" s="85" t="str">
        <x:v>Authenticated scoped persona; Company/Branch context selected when required.</x:v>
      </x:c>
      <x:c r="H23" s="85" t="str">
        <x:v>Open Recruitment delivery; verify list/detail or workspace actions permitted by role.</x:v>
      </x:c>
      <x:c r="I23" s="85" t="str">
        <x:v>Required fields, foreign IDs, stale version, double submit and validation messages.</x:v>
      </x:c>
      <x:c r="J23" s="85" t="str">
        <x:v>Denied is explicit; no data leak; disabled/not configured is not Pass.</x:v>
      </x:c>
      <x:c r="K23" s="85" t="str">
        <x:v>Loading, empty, not configured, degraded, error, retry and conflict are distinct.</x:v>
      </x:c>
      <x:c r="L23" s="85" t="str">
        <x:v>Desktop + tablet + mobile</x:v>
      </x:c>
      <x:c r="M23" s="85" t="str">
        <x:v>E2E-MENU-018</x:v>
      </x:c>
      <x:c r="N23" s="85" t="str">
        <x:v>MAN-MENU-018</x:v>
      </x:c>
      <x:c r="O23" s="85" t="str">
        <x:v>Historical authenticated surface passed; full workflow Not Run</x:v>
      </x:c>
      <x:c r="P23" s="85" t="str">
        <x:v>backend/.qa-runs/authenticated-smoke-playwright-20260918T104017949Z-9975f254.log</x:v>
      </x:c>
    </x:row>
    <x:row r="24">
      <x:c r="A24" s="85" t="str">
        <x:v>MENU-019</x:v>
      </x:c>
      <x:c r="B24" s="85" t="str">
        <x:v>Recruitment</x:v>
      </x:c>
      <x:c r="C24" s="85" t="str">
        <x:v>Hiring decisions</x:v>
      </x:c>
      <x:c r="D24" s="85" t="str">
        <x:v>/hr/recruitment/hiring-decisions</x:v>
      </x:c>
      <x:c r="E24" s="85" t="str">
        <x:v>hr.recruitment.read</x:v>
      </x:c>
      <x:c r="F24" s="85" t="str">
        <x:v>recruitmentNav</x:v>
      </x:c>
      <x:c r="G24" s="85" t="str">
        <x:v>Authenticated scoped persona; Company/Branch context selected when required.</x:v>
      </x:c>
      <x:c r="H24" s="85" t="str">
        <x:v>Open Hiring decisions; verify list/detail or workspace actions permitted by role.</x:v>
      </x:c>
      <x:c r="I24" s="85" t="str">
        <x:v>Required fields, foreign IDs, stale version, double submit and validation messages.</x:v>
      </x:c>
      <x:c r="J24" s="85" t="str">
        <x:v>Denied is explicit; no data leak; disabled/not configured is not Pass.</x:v>
      </x:c>
      <x:c r="K24" s="85" t="str">
        <x:v>Loading, empty, not configured, degraded, error, retry and conflict are distinct.</x:v>
      </x:c>
      <x:c r="L24" s="85" t="str">
        <x:v>Desktop + tablet + mobile</x:v>
      </x:c>
      <x:c r="M24" s="85" t="str">
        <x:v>E2E-MENU-019</x:v>
      </x:c>
      <x:c r="N24" s="85" t="str">
        <x:v>MAN-MENU-019</x:v>
      </x:c>
      <x:c r="O24" s="85" t="str">
        <x:v>Historical authenticated surface passed; full workflow Not Run</x:v>
      </x:c>
      <x:c r="P24" s="85" t="str">
        <x:v>backend/.qa-runs/authenticated-smoke-playwright-20260918T104017949Z-9975f254.log</x:v>
      </x:c>
    </x:row>
    <x:row r="25">
      <x:c r="A25" s="85" t="str">
        <x:v>MENU-020</x:v>
      </x:c>
      <x:c r="B25" s="85" t="str">
        <x:v>Recruitment</x:v>
      </x:c>
      <x:c r="C25" s="85" t="str">
        <x:v>Interviews</x:v>
      </x:c>
      <x:c r="D25" s="85" t="str">
        <x:v>/hr/recruitment/interviews</x:v>
      </x:c>
      <x:c r="E25" s="85" t="str">
        <x:v>hr.recruitment.read</x:v>
      </x:c>
      <x:c r="F25" s="85" t="str">
        <x:v>recruitmentNav</x:v>
      </x:c>
      <x:c r="G25" s="85" t="str">
        <x:v>Authenticated scoped persona; Company/Branch context selected when required.</x:v>
      </x:c>
      <x:c r="H25" s="85" t="str">
        <x:v>Open Interviews; verify list/detail or workspace actions permitted by role.</x:v>
      </x:c>
      <x:c r="I25" s="85" t="str">
        <x:v>Required fields, foreign IDs, stale version, double submit and validation messages.</x:v>
      </x:c>
      <x:c r="J25" s="85" t="str">
        <x:v>Denied is explicit; no data leak; disabled/not configured is not Pass.</x:v>
      </x:c>
      <x:c r="K25" s="85" t="str">
        <x:v>Loading, empty, not configured, degraded, error, retry and conflict are distinct.</x:v>
      </x:c>
      <x:c r="L25" s="85" t="str">
        <x:v>Desktop + tablet + mobile</x:v>
      </x:c>
      <x:c r="M25" s="85" t="str">
        <x:v>E2E-MENU-020</x:v>
      </x:c>
      <x:c r="N25" s="85" t="str">
        <x:v>MAN-MENU-020</x:v>
      </x:c>
      <x:c r="O25" s="85" t="str">
        <x:v>Historical authenticated surface passed; full workflow Not Run</x:v>
      </x:c>
      <x:c r="P25" s="85" t="str">
        <x:v>backend/.qa-runs/authenticated-smoke-playwright-20260918T104017949Z-9975f254.log</x:v>
      </x:c>
    </x:row>
    <x:row r="26">
      <x:c r="A26" s="85" t="str">
        <x:v>MENU-021</x:v>
      </x:c>
      <x:c r="B26" s="85" t="str">
        <x:v>Recruitment</x:v>
      </x:c>
      <x:c r="C26" s="85" t="str">
        <x:v>Offers</x:v>
      </x:c>
      <x:c r="D26" s="85" t="str">
        <x:v>/hr/recruitment/offers</x:v>
      </x:c>
      <x:c r="E26" s="85" t="str">
        <x:v>hr.recruitment.read</x:v>
      </x:c>
      <x:c r="F26" s="85" t="str">
        <x:v>recruitmentNav</x:v>
      </x:c>
      <x:c r="G26" s="85" t="str">
        <x:v>Authenticated scoped persona; Company/Branch context selected when required.</x:v>
      </x:c>
      <x:c r="H26" s="85" t="str">
        <x:v>Open Offers; verify list/detail or workspace actions permitted by role.</x:v>
      </x:c>
      <x:c r="I26" s="85" t="str">
        <x:v>Required fields, foreign IDs, stale version, double submit and validation messages.</x:v>
      </x:c>
      <x:c r="J26" s="85" t="str">
        <x:v>Denied is explicit; no data leak; disabled/not configured is not Pass.</x:v>
      </x:c>
      <x:c r="K26" s="85" t="str">
        <x:v>Loading, empty, not configured, degraded, error, retry and conflict are distinct.</x:v>
      </x:c>
      <x:c r="L26" s="85" t="str">
        <x:v>Desktop + tablet + mobile</x:v>
      </x:c>
      <x:c r="M26" s="85" t="str">
        <x:v>E2E-MENU-021</x:v>
      </x:c>
      <x:c r="N26" s="85" t="str">
        <x:v>MAN-MENU-021</x:v>
      </x:c>
      <x:c r="O26" s="85" t="str">
        <x:v>Historical authenticated surface passed; full workflow Not Run</x:v>
      </x:c>
      <x:c r="P26" s="85" t="str">
        <x:v>backend/.qa-runs/authenticated-smoke-playwright-20260918T104017949Z-9975f254.log</x:v>
      </x:c>
    </x:row>
    <x:row r="27">
      <x:c r="A27" s="85" t="str">
        <x:v>MENU-022</x:v>
      </x:c>
      <x:c r="B27" s="85" t="str">
        <x:v>Recruitment</x:v>
      </x:c>
      <x:c r="C27" s="85" t="str">
        <x:v>Openings</x:v>
      </x:c>
      <x:c r="D27" s="85" t="str">
        <x:v>/hr/recruitment/openings</x:v>
      </x:c>
      <x:c r="E27" s="85" t="str">
        <x:v>hr.recruitment.read</x:v>
      </x:c>
      <x:c r="F27" s="85" t="str">
        <x:v>recruitmentNav</x:v>
      </x:c>
      <x:c r="G27" s="85" t="str">
        <x:v>Authenticated scoped persona; Company/Branch context selected when required.</x:v>
      </x:c>
      <x:c r="H27" s="85" t="str">
        <x:v>Open Openings; verify list/detail or workspace actions permitted by role.</x:v>
      </x:c>
      <x:c r="I27" s="85" t="str">
        <x:v>Required fields, foreign IDs, stale version, double submit and validation messages.</x:v>
      </x:c>
      <x:c r="J27" s="85" t="str">
        <x:v>Denied is explicit; no data leak; disabled/not configured is not Pass.</x:v>
      </x:c>
      <x:c r="K27" s="85" t="str">
        <x:v>Loading, empty, not configured, degraded, error, retry and conflict are distinct.</x:v>
      </x:c>
      <x:c r="L27" s="85" t="str">
        <x:v>Desktop + tablet + mobile</x:v>
      </x:c>
      <x:c r="M27" s="85" t="str">
        <x:v>E2E-MENU-022</x:v>
      </x:c>
      <x:c r="N27" s="85" t="str">
        <x:v>MAN-MENU-022</x:v>
      </x:c>
      <x:c r="O27" s="85" t="str">
        <x:v>Historical authenticated surface passed; full workflow Not Run</x:v>
      </x:c>
      <x:c r="P27" s="85" t="str">
        <x:v>backend/.qa-runs/authenticated-smoke-playwright-20260918T104017949Z-9975f254.log</x:v>
      </x:c>
    </x:row>
    <x:row r="28">
      <x:c r="A28" s="85" t="str">
        <x:v>MENU-023</x:v>
      </x:c>
      <x:c r="B28" s="85" t="str">
        <x:v>Workforce</x:v>
      </x:c>
      <x:c r="C28" s="85" t="str">
        <x:v>Daily attendance</x:v>
      </x:c>
      <x:c r="D28" s="85" t="str">
        <x:v>/hr/attendance</x:v>
      </x:c>
      <x:c r="E28" s="85" t="str">
        <x:v>hr.attendance.read</x:v>
      </x:c>
      <x:c r="F28" s="85" t="str">
        <x:v>None</x:v>
      </x:c>
      <x:c r="G28" s="85" t="str">
        <x:v>Authenticated scoped persona; Company/Branch context selected when required.</x:v>
      </x:c>
      <x:c r="H28" s="85" t="str">
        <x:v>Open Daily attendance; verify list/detail or workspace actions permitted by role.</x:v>
      </x:c>
      <x:c r="I28" s="85" t="str">
        <x:v>Required fields, foreign IDs, stale version, double submit and validation messages.</x:v>
      </x:c>
      <x:c r="J28" s="85" t="str">
        <x:v>Denied is explicit; no data leak; disabled/not configured is not Pass.</x:v>
      </x:c>
      <x:c r="K28" s="85" t="str">
        <x:v>Loading, empty, not configured, degraded, error, retry and conflict are distinct.</x:v>
      </x:c>
      <x:c r="L28" s="85" t="str">
        <x:v>Desktop + tablet + mobile</x:v>
      </x:c>
      <x:c r="M28" s="85" t="str">
        <x:v>E2E-MENU-023</x:v>
      </x:c>
      <x:c r="N28" s="85" t="str">
        <x:v>MAN-MENU-023</x:v>
      </x:c>
      <x:c r="O28" s="85" t="str">
        <x:v>Historical authenticated surface passed; full workflow Not Run</x:v>
      </x:c>
      <x:c r="P28" s="85" t="str">
        <x:v>backend/.qa-runs/authenticated-smoke-playwright-20260918T104017949Z-9975f254.log</x:v>
      </x:c>
    </x:row>
    <x:row r="29">
      <x:c r="A29" s="85" t="str">
        <x:v>MENU-024</x:v>
      </x:c>
      <x:c r="B29" s="85" t="str">
        <x:v>Workforce</x:v>
      </x:c>
      <x:c r="C29" s="85" t="str">
        <x:v>Exceptions</x:v>
      </x:c>
      <x:c r="D29" s="85" t="str">
        <x:v>/hr/attendance/exceptions</x:v>
      </x:c>
      <x:c r="E29" s="85" t="str">
        <x:v>hr.attendance.read</x:v>
      </x:c>
      <x:c r="F29" s="85" t="str">
        <x:v>None</x:v>
      </x:c>
      <x:c r="G29" s="85" t="str">
        <x:v>Authenticated scoped persona; Company/Branch context selected when required.</x:v>
      </x:c>
      <x:c r="H29" s="85" t="str">
        <x:v>Open Exceptions; verify list/detail or workspace actions permitted by role.</x:v>
      </x:c>
      <x:c r="I29" s="85" t="str">
        <x:v>Required fields, foreign IDs, stale version, double submit and validation messages.</x:v>
      </x:c>
      <x:c r="J29" s="85" t="str">
        <x:v>Denied is explicit; no data leak; disabled/not configured is not Pass.</x:v>
      </x:c>
      <x:c r="K29" s="85" t="str">
        <x:v>Loading, empty, not configured, degraded, error, retry and conflict are distinct.</x:v>
      </x:c>
      <x:c r="L29" s="85" t="str">
        <x:v>Desktop + tablet + mobile</x:v>
      </x:c>
      <x:c r="M29" s="85" t="str">
        <x:v>E2E-MENU-024</x:v>
      </x:c>
      <x:c r="N29" s="85" t="str">
        <x:v>MAN-MENU-024</x:v>
      </x:c>
      <x:c r="O29" s="85" t="str">
        <x:v>Historical authenticated surface passed; full workflow Not Run</x:v>
      </x:c>
      <x:c r="P29" s="85" t="str">
        <x:v>backend/.qa-runs/authenticated-smoke-playwright-20260918T104017949Z-9975f254.log</x:v>
      </x:c>
    </x:row>
    <x:row r="30">
      <x:c r="A30" s="85" t="str">
        <x:v>MENU-025</x:v>
      </x:c>
      <x:c r="B30" s="85" t="str">
        <x:v>Workforce</x:v>
      </x:c>
      <x:c r="C30" s="85" t="str">
        <x:v>Attendance period closing</x:v>
      </x:c>
      <x:c r="D30" s="85" t="str">
        <x:v>/hr/attendance/periods</x:v>
      </x:c>
      <x:c r="E30" s="85" t="str">
        <x:v>hr.attendance.read</x:v>
      </x:c>
      <x:c r="F30" s="85" t="str">
        <x:v>None</x:v>
      </x:c>
      <x:c r="G30" s="85" t="str">
        <x:v>Authenticated scoped persona; Company/Branch context selected when required.</x:v>
      </x:c>
      <x:c r="H30" s="85" t="str">
        <x:v>Open Attendance period closing; verify list/detail or workspace actions permitted by role.</x:v>
      </x:c>
      <x:c r="I30" s="85" t="str">
        <x:v>Required fields, foreign IDs, stale version, double submit and validation messages.</x:v>
      </x:c>
      <x:c r="J30" s="85" t="str">
        <x:v>Denied is explicit; no data leak; disabled/not configured is not Pass.</x:v>
      </x:c>
      <x:c r="K30" s="85" t="str">
        <x:v>Loading, empty, not configured, degraded, error, retry and conflict are distinct.</x:v>
      </x:c>
      <x:c r="L30" s="85" t="str">
        <x:v>Desktop + tablet + mobile</x:v>
      </x:c>
      <x:c r="M30" s="85" t="str">
        <x:v>E2E-MENU-025</x:v>
      </x:c>
      <x:c r="N30" s="85" t="str">
        <x:v>MAN-MENU-025</x:v>
      </x:c>
      <x:c r="O30" s="85" t="str">
        <x:v>Historical authenticated surface passed; full workflow Not Run</x:v>
      </x:c>
      <x:c r="P30" s="85" t="str">
        <x:v>backend/.qa-runs/authenticated-smoke-playwright-20260918T104017949Z-9975f254.log</x:v>
      </x:c>
    </x:row>
    <x:row r="31">
      <x:c r="A31" s="85" t="str">
        <x:v>MENU-026</x:v>
      </x:c>
      <x:c r="B31" s="85" t="str">
        <x:v>Workforce</x:v>
      </x:c>
      <x:c r="C31" s="85" t="str">
        <x:v>Document categories</x:v>
      </x:c>
      <x:c r="D31" s="85" t="str">
        <x:v>/hr/employee-document-categories</x:v>
      </x:c>
      <x:c r="E31" s="85" t="str">
        <x:v>hr.documents.read</x:v>
      </x:c>
      <x:c r="F31" s="85" t="str">
        <x:v>None</x:v>
      </x:c>
      <x:c r="G31" s="85" t="str">
        <x:v>Authenticated scoped persona; Company/Branch context selected when required.</x:v>
      </x:c>
      <x:c r="H31" s="85" t="str">
        <x:v>Open Document categories; verify list/detail or workspace actions permitted by role.</x:v>
      </x:c>
      <x:c r="I31" s="85" t="str">
        <x:v>Required fields, foreign IDs, stale version, double submit and validation messages.</x:v>
      </x:c>
      <x:c r="J31" s="85" t="str">
        <x:v>Denied is explicit; no data leak; disabled/not configured is not Pass.</x:v>
      </x:c>
      <x:c r="K31" s="85" t="str">
        <x:v>Loading, empty, not configured, degraded, error, retry and conflict are distinct.</x:v>
      </x:c>
      <x:c r="L31" s="85" t="str">
        <x:v>Desktop + tablet + mobile</x:v>
      </x:c>
      <x:c r="M31" s="85" t="str">
        <x:v>E2E-MENU-026</x:v>
      </x:c>
      <x:c r="N31" s="85" t="str">
        <x:v>MAN-MENU-026</x:v>
      </x:c>
      <x:c r="O31" s="85" t="str">
        <x:v>Historical authenticated surface passed; full workflow Not Run</x:v>
      </x:c>
      <x:c r="P31" s="85" t="str">
        <x:v>backend/.qa-runs/authenticated-smoke-playwright-20260918T104017949Z-9975f254.log</x:v>
      </x:c>
    </x:row>
    <x:row r="32">
      <x:c r="A32" s="85" t="str">
        <x:v>MENU-027</x:v>
      </x:c>
      <x:c r="B32" s="85" t="str">
        <x:v>Workforce</x:v>
      </x:c>
      <x:c r="C32" s="85" t="str">
        <x:v>Document types</x:v>
      </x:c>
      <x:c r="D32" s="85" t="str">
        <x:v>/hr/employee-document-types</x:v>
      </x:c>
      <x:c r="E32" s="85" t="str">
        <x:v>hr.documents.read</x:v>
      </x:c>
      <x:c r="F32" s="85" t="str">
        <x:v>None</x:v>
      </x:c>
      <x:c r="G32" s="85" t="str">
        <x:v>Authenticated scoped persona; Company/Branch context selected when required.</x:v>
      </x:c>
      <x:c r="H32" s="85" t="str">
        <x:v>Open Document types; verify list/detail or workspace actions permitted by role.</x:v>
      </x:c>
      <x:c r="I32" s="85" t="str">
        <x:v>Required fields, foreign IDs, stale version, double submit and validation messages.</x:v>
      </x:c>
      <x:c r="J32" s="85" t="str">
        <x:v>Denied is explicit; no data leak; disabled/not configured is not Pass.</x:v>
      </x:c>
      <x:c r="K32" s="85" t="str">
        <x:v>Loading, empty, not configured, degraded, error, retry and conflict are distinct.</x:v>
      </x:c>
      <x:c r="L32" s="85" t="str">
        <x:v>Desktop + tablet + mobile</x:v>
      </x:c>
      <x:c r="M32" s="85" t="str">
        <x:v>E2E-MENU-027</x:v>
      </x:c>
      <x:c r="N32" s="85" t="str">
        <x:v>MAN-MENU-027</x:v>
      </x:c>
      <x:c r="O32" s="85" t="str">
        <x:v>Historical authenticated surface passed; full workflow Not Run</x:v>
      </x:c>
      <x:c r="P32" s="85" t="str">
        <x:v>backend/.qa-runs/authenticated-smoke-playwright-20260918T104017949Z-9975f254.log</x:v>
      </x:c>
    </x:row>
    <x:row r="33">
      <x:c r="A33" s="85" t="str">
        <x:v>MENU-028</x:v>
      </x:c>
      <x:c r="B33" s="85" t="str">
        <x:v>Workforce</x:v>
      </x:c>
      <x:c r="C33" s="85" t="str">
        <x:v>Requests</x:v>
      </x:c>
      <x:c r="D33" s="85" t="str">
        <x:v>/hr/leave</x:v>
      </x:c>
      <x:c r="E33" s="85" t="str">
        <x:v>hr.leave.read OR hr.team.approve</x:v>
      </x:c>
      <x:c r="F33" s="85" t="str">
        <x:v>None</x:v>
      </x:c>
      <x:c r="G33" s="85" t="str">
        <x:v>Authenticated scoped persona; Company/Branch context selected when required.</x:v>
      </x:c>
      <x:c r="H33" s="85" t="str">
        <x:v>Open Requests; verify list/detail or workspace actions permitted by role.</x:v>
      </x:c>
      <x:c r="I33" s="85" t="str">
        <x:v>Required fields, foreign IDs, stale version, double submit and validation messages.</x:v>
      </x:c>
      <x:c r="J33" s="85" t="str">
        <x:v>Denied is explicit; no data leak; disabled/not configured is not Pass.</x:v>
      </x:c>
      <x:c r="K33" s="85" t="str">
        <x:v>Loading, empty, not configured, degraded, error, retry and conflict are distinct.</x:v>
      </x:c>
      <x:c r="L33" s="85" t="str">
        <x:v>Desktop + tablet + mobile</x:v>
      </x:c>
      <x:c r="M33" s="85" t="str">
        <x:v>E2E-MENU-028</x:v>
      </x:c>
      <x:c r="N33" s="85" t="str">
        <x:v>MAN-MENU-028</x:v>
      </x:c>
      <x:c r="O33" s="85" t="str">
        <x:v>Historical authenticated surface passed; full workflow Not Run</x:v>
      </x:c>
      <x:c r="P33" s="85" t="str">
        <x:v>backend/.qa-runs/authenticated-smoke-playwright-20260918T104017949Z-9975f254.log</x:v>
      </x:c>
    </x:row>
    <x:row r="34">
      <x:c r="A34" s="85" t="str">
        <x:v>MENU-029</x:v>
      </x:c>
      <x:c r="B34" s="85" t="str">
        <x:v>Workforce</x:v>
      </x:c>
      <x:c r="C34" s="85" t="str">
        <x:v>Employee leave balance</x:v>
      </x:c>
      <x:c r="D34" s="85" t="str">
        <x:v>/hr/leave/balances</x:v>
      </x:c>
      <x:c r="E34" s="85" t="str">
        <x:v>hr.leave.read</x:v>
      </x:c>
      <x:c r="F34" s="85" t="str">
        <x:v>None</x:v>
      </x:c>
      <x:c r="G34" s="85" t="str">
        <x:v>Authenticated scoped persona; Company/Branch context selected when required.</x:v>
      </x:c>
      <x:c r="H34" s="85" t="str">
        <x:v>Open Employee leave balance; verify list/detail or workspace actions permitted by role.</x:v>
      </x:c>
      <x:c r="I34" s="85" t="str">
        <x:v>Required fields, foreign IDs, stale version, double submit and validation messages.</x:v>
      </x:c>
      <x:c r="J34" s="85" t="str">
        <x:v>Denied is explicit; no data leak; disabled/not configured is not Pass.</x:v>
      </x:c>
      <x:c r="K34" s="85" t="str">
        <x:v>Loading, empty, not configured, degraded, error, retry and conflict are distinct.</x:v>
      </x:c>
      <x:c r="L34" s="85" t="str">
        <x:v>Desktop + tablet + mobile</x:v>
      </x:c>
      <x:c r="M34" s="85" t="str">
        <x:v>E2E-MENU-029</x:v>
      </x:c>
      <x:c r="N34" s="85" t="str">
        <x:v>MAN-MENU-029</x:v>
      </x:c>
      <x:c r="O34" s="85" t="str">
        <x:v>Historical authenticated surface passed; full workflow Not Run</x:v>
      </x:c>
      <x:c r="P34" s="85" t="str">
        <x:v>backend/.qa-runs/authenticated-smoke-playwright-20260918T104017949Z-9975f254.log</x:v>
      </x:c>
    </x:row>
    <x:row r="35">
      <x:c r="A35" s="85" t="str">
        <x:v>MENU-030</x:v>
      </x:c>
      <x:c r="B35" s="85" t="str">
        <x:v>Workforce</x:v>
      </x:c>
      <x:c r="C35" s="85" t="str">
        <x:v>Calendar</x:v>
      </x:c>
      <x:c r="D35" s="85" t="str">
        <x:v>/hr/leave/calendar</x:v>
      </x:c>
      <x:c r="E35" s="85" t="str">
        <x:v>hr.calendar.read OR hr.team.read</x:v>
      </x:c>
      <x:c r="F35" s="85" t="str">
        <x:v>None</x:v>
      </x:c>
      <x:c r="G35" s="85" t="str">
        <x:v>Authenticated scoped persona; Company/Branch context selected when required.</x:v>
      </x:c>
      <x:c r="H35" s="85" t="str">
        <x:v>Open Calendar; verify list/detail or workspace actions permitted by role.</x:v>
      </x:c>
      <x:c r="I35" s="85" t="str">
        <x:v>Required fields, foreign IDs, stale version, double submit and validation messages.</x:v>
      </x:c>
      <x:c r="J35" s="85" t="str">
        <x:v>Denied is explicit; no data leak; disabled/not configured is not Pass.</x:v>
      </x:c>
      <x:c r="K35" s="85" t="str">
        <x:v>Loading, empty, not configured, degraded, error, retry and conflict are distinct.</x:v>
      </x:c>
      <x:c r="L35" s="85" t="str">
        <x:v>Desktop + tablet + mobile</x:v>
      </x:c>
      <x:c r="M35" s="85" t="str">
        <x:v>E2E-MENU-030</x:v>
      </x:c>
      <x:c r="N35" s="85" t="str">
        <x:v>MAN-MENU-030</x:v>
      </x:c>
      <x:c r="O35" s="85" t="str">
        <x:v>Historical authenticated surface passed; full workflow Not Run</x:v>
      </x:c>
      <x:c r="P35" s="85" t="str">
        <x:v>backend/.qa-runs/authenticated-smoke-playwright-20260918T104017949Z-9975f254.log</x:v>
      </x:c>
    </x:row>
    <x:row r="36">
      <x:c r="A36" s="85" t="str">
        <x:v>MENU-031</x:v>
      </x:c>
      <x:c r="B36" s="85" t="str">
        <x:v>Workforce</x:v>
      </x:c>
      <x:c r="C36" s="85" t="str">
        <x:v>Comp-off</x:v>
      </x:c>
      <x:c r="D36" s="85" t="str">
        <x:v>/hr/leave/comp-off</x:v>
      </x:c>
      <x:c r="E36" s="85" t="str">
        <x:v>hr.comp-off.read</x:v>
      </x:c>
      <x:c r="F36" s="85" t="str">
        <x:v>None</x:v>
      </x:c>
      <x:c r="G36" s="85" t="str">
        <x:v>Authenticated scoped persona; Company/Branch context selected when required.</x:v>
      </x:c>
      <x:c r="H36" s="85" t="str">
        <x:v>Open Comp-off; verify list/detail or workspace actions permitted by role.</x:v>
      </x:c>
      <x:c r="I36" s="85" t="str">
        <x:v>Required fields, foreign IDs, stale version, double submit and validation messages.</x:v>
      </x:c>
      <x:c r="J36" s="85" t="str">
        <x:v>Denied is explicit; no data leak; disabled/not configured is not Pass.</x:v>
      </x:c>
      <x:c r="K36" s="85" t="str">
        <x:v>Loading, empty, not configured, degraded, error, retry and conflict are distinct.</x:v>
      </x:c>
      <x:c r="L36" s="85" t="str">
        <x:v>Desktop + tablet + mobile</x:v>
      </x:c>
      <x:c r="M36" s="85" t="str">
        <x:v>E2E-MENU-031</x:v>
      </x:c>
      <x:c r="N36" s="85" t="str">
        <x:v>MAN-MENU-031</x:v>
      </x:c>
      <x:c r="O36" s="85" t="str">
        <x:v>Historical authenticated surface passed; full workflow Not Run</x:v>
      </x:c>
      <x:c r="P36" s="85" t="str">
        <x:v>backend/.qa-runs/authenticated-smoke-playwright-20260918T104017949Z-9975f254.log</x:v>
      </x:c>
    </x:row>
    <x:row r="37">
      <x:c r="A37" s="85" t="str">
        <x:v>MENU-032</x:v>
      </x:c>
      <x:c r="B37" s="85" t="str">
        <x:v>Workforce</x:v>
      </x:c>
      <x:c r="C37" s="85" t="str">
        <x:v>Holidays</x:v>
      </x:c>
      <x:c r="D37" s="85" t="str">
        <x:v>/hr/leave/holidays</x:v>
      </x:c>
      <x:c r="E37" s="85" t="str">
        <x:v>hr.holidays.read</x:v>
      </x:c>
      <x:c r="F37" s="85" t="str">
        <x:v>None</x:v>
      </x:c>
      <x:c r="G37" s="85" t="str">
        <x:v>Authenticated scoped persona; Company/Branch context selected when required.</x:v>
      </x:c>
      <x:c r="H37" s="85" t="str">
        <x:v>Open Holidays; verify list/detail or workspace actions permitted by role.</x:v>
      </x:c>
      <x:c r="I37" s="85" t="str">
        <x:v>Required fields, foreign IDs, stale version, double submit and validation messages.</x:v>
      </x:c>
      <x:c r="J37" s="85" t="str">
        <x:v>Denied is explicit; no data leak; disabled/not configured is not Pass.</x:v>
      </x:c>
      <x:c r="K37" s="85" t="str">
        <x:v>Loading, empty, not configured, degraded, error, retry and conflict are distinct.</x:v>
      </x:c>
      <x:c r="L37" s="85" t="str">
        <x:v>Desktop + tablet + mobile</x:v>
      </x:c>
      <x:c r="M37" s="85" t="str">
        <x:v>E2E-MENU-032</x:v>
      </x:c>
      <x:c r="N37" s="85" t="str">
        <x:v>MAN-MENU-032</x:v>
      </x:c>
      <x:c r="O37" s="85" t="str">
        <x:v>Historical authenticated surface passed; full workflow Not Run</x:v>
      </x:c>
      <x:c r="P37" s="85" t="str">
        <x:v>backend/.qa-runs/authenticated-smoke-playwright-20260918T104017949Z-9975f254.log</x:v>
      </x:c>
    </x:row>
    <x:row r="38">
      <x:c r="A38" s="85" t="str">
        <x:v>MENU-033</x:v>
      </x:c>
      <x:c r="B38" s="85" t="str">
        <x:v>Workforce</x:v>
      </x:c>
      <x:c r="C38" s="85" t="str">
        <x:v>Leave types</x:v>
      </x:c>
      <x:c r="D38" s="85" t="str">
        <x:v>/hr/leave/types</x:v>
      </x:c>
      <x:c r="E38" s="85" t="str">
        <x:v>hr.leave.read</x:v>
      </x:c>
      <x:c r="F38" s="85" t="str">
        <x:v>None</x:v>
      </x:c>
      <x:c r="G38" s="85" t="str">
        <x:v>Authenticated scoped persona; Company/Branch context selected when required.</x:v>
      </x:c>
      <x:c r="H38" s="85" t="str">
        <x:v>Open Leave types; verify list/detail or workspace actions permitted by role.</x:v>
      </x:c>
      <x:c r="I38" s="85" t="str">
        <x:v>Required fields, foreign IDs, stale version, double submit and validation messages.</x:v>
      </x:c>
      <x:c r="J38" s="85" t="str">
        <x:v>Denied is explicit; no data leak; disabled/not configured is not Pass.</x:v>
      </x:c>
      <x:c r="K38" s="85" t="str">
        <x:v>Loading, empty, not configured, degraded, error, retry and conflict are distinct.</x:v>
      </x:c>
      <x:c r="L38" s="85" t="str">
        <x:v>Desktop + tablet + mobile</x:v>
      </x:c>
      <x:c r="M38" s="85" t="str">
        <x:v>E2E-MENU-033</x:v>
      </x:c>
      <x:c r="N38" s="85" t="str">
        <x:v>MAN-MENU-033</x:v>
      </x:c>
      <x:c r="O38" s="85" t="str">
        <x:v>Historical authenticated surface passed; full workflow Not Run</x:v>
      </x:c>
      <x:c r="P38" s="85" t="str">
        <x:v>backend/.qa-runs/authenticated-smoke-playwright-20260918T104017949Z-9975f254.log</x:v>
      </x:c>
    </x:row>
    <x:row r="39">
      <x:c r="A39" s="85" t="str">
        <x:v>MENU-034</x:v>
      </x:c>
      <x:c r="B39" s="85" t="str">
        <x:v>Workforce</x:v>
      </x:c>
      <x:c r="C39" s="85" t="str">
        <x:v>Onboarding templates</x:v>
      </x:c>
      <x:c r="D39" s="85" t="str">
        <x:v>/hr/onboarding-templates</x:v>
      </x:c>
      <x:c r="E39" s="85" t="str">
        <x:v>hr.onboarding.read</x:v>
      </x:c>
      <x:c r="F39" s="85" t="str">
        <x:v>onboardingNav</x:v>
      </x:c>
      <x:c r="G39" s="85" t="str">
        <x:v>Authenticated scoped persona; Company/Branch context selected when required.</x:v>
      </x:c>
      <x:c r="H39" s="85" t="str">
        <x:v>Open Onboarding templates; verify list/detail or workspace actions permitted by role.</x:v>
      </x:c>
      <x:c r="I39" s="85" t="str">
        <x:v>Required fields, foreign IDs, stale version, double submit and validation messages.</x:v>
      </x:c>
      <x:c r="J39" s="85" t="str">
        <x:v>Denied is explicit; no data leak; disabled/not configured is not Pass.</x:v>
      </x:c>
      <x:c r="K39" s="85" t="str">
        <x:v>Loading, empty, not configured, degraded, error, retry and conflict are distinct.</x:v>
      </x:c>
      <x:c r="L39" s="85" t="str">
        <x:v>Desktop + tablet + mobile</x:v>
      </x:c>
      <x:c r="M39" s="85" t="str">
        <x:v>E2E-MENU-034</x:v>
      </x:c>
      <x:c r="N39" s="85" t="str">
        <x:v>MAN-MENU-034</x:v>
      </x:c>
      <x:c r="O39" s="85" t="str">
        <x:v>Historical authenticated surface passed; full workflow Not Run</x:v>
      </x:c>
      <x:c r="P39" s="85" t="str">
        <x:v>backend/.qa-runs/authenticated-smoke-playwright-20260918T104017949Z-9975f254.log</x:v>
      </x:c>
    </x:row>
    <x:row r="40">
      <x:c r="A40" s="85" t="str">
        <x:v>MENU-035</x:v>
      </x:c>
      <x:c r="B40" s="85" t="str">
        <x:v>Workforce</x:v>
      </x:c>
      <x:c r="C40" s="85" t="str">
        <x:v>Overtime</x:v>
      </x:c>
      <x:c r="D40" s="85" t="str">
        <x:v>/hr/overtime</x:v>
      </x:c>
      <x:c r="E40" s="85" t="str">
        <x:v>hr.overtime.read</x:v>
      </x:c>
      <x:c r="F40" s="85" t="str">
        <x:v>None</x:v>
      </x:c>
      <x:c r="G40" s="85" t="str">
        <x:v>Authenticated scoped persona; Company/Branch context selected when required.</x:v>
      </x:c>
      <x:c r="H40" s="85" t="str">
        <x:v>Open Overtime; verify list/detail or workspace actions permitted by role.</x:v>
      </x:c>
      <x:c r="I40" s="85" t="str">
        <x:v>Required fields, foreign IDs, stale version, double submit and validation messages.</x:v>
      </x:c>
      <x:c r="J40" s="85" t="str">
        <x:v>Denied is explicit; no data leak; disabled/not configured is not Pass.</x:v>
      </x:c>
      <x:c r="K40" s="85" t="str">
        <x:v>Loading, empty, not configured, degraded, error, retry and conflict are distinct.</x:v>
      </x:c>
      <x:c r="L40" s="85" t="str">
        <x:v>Desktop + tablet + mobile</x:v>
      </x:c>
      <x:c r="M40" s="85" t="str">
        <x:v>E2E-MENU-035</x:v>
      </x:c>
      <x:c r="N40" s="85" t="str">
        <x:v>MAN-MENU-035</x:v>
      </x:c>
      <x:c r="O40" s="85" t="str">
        <x:v>Historical authenticated surface passed; full workflow Not Run</x:v>
      </x:c>
      <x:c r="P40" s="85" t="str">
        <x:v>backend/.qa-runs/authenticated-smoke-playwright-20260918T104017949Z-9975f254.log</x:v>
      </x:c>
    </x:row>
    <x:row r="41">
      <x:c r="A41" s="85" t="str">
        <x:v>MENU-036</x:v>
      </x:c>
      <x:c r="B41" s="85" t="str">
        <x:v>Workforce</x:v>
      </x:c>
      <x:c r="C41" s="85" t="str">
        <x:v>Work schedule</x:v>
      </x:c>
      <x:c r="D41" s="85" t="str">
        <x:v>/hr/work-schedule</x:v>
      </x:c>
      <x:c r="E41" s="85" t="str">
        <x:v>hr.schedule.read</x:v>
      </x:c>
      <x:c r="F41" s="85" t="str">
        <x:v>None</x:v>
      </x:c>
      <x:c r="G41" s="85" t="str">
        <x:v>Authenticated scoped persona; Company/Branch context selected when required.</x:v>
      </x:c>
      <x:c r="H41" s="85" t="str">
        <x:v>Open Work schedule; verify list/detail or workspace actions permitted by role.</x:v>
      </x:c>
      <x:c r="I41" s="85" t="str">
        <x:v>Required fields, foreign IDs, stale version, double submit and validation messages.</x:v>
      </x:c>
      <x:c r="J41" s="85" t="str">
        <x:v>Denied is explicit; no data leak; disabled/not configured is not Pass.</x:v>
      </x:c>
      <x:c r="K41" s="85" t="str">
        <x:v>Loading, empty, not configured, degraded, error, retry and conflict are distinct.</x:v>
      </x:c>
      <x:c r="L41" s="85" t="str">
        <x:v>Desktop + tablet + mobile</x:v>
      </x:c>
      <x:c r="M41" s="85" t="str">
        <x:v>E2E-MENU-036</x:v>
      </x:c>
      <x:c r="N41" s="85" t="str">
        <x:v>MAN-MENU-036</x:v>
      </x:c>
      <x:c r="O41" s="85" t="str">
        <x:v>Historical authenticated surface passed; full workflow Not Run</x:v>
      </x:c>
      <x:c r="P41" s="85" t="str">
        <x:v>backend/.qa-runs/authenticated-smoke-playwright-20260918T104017949Z-9975f254.log</x:v>
      </x:c>
    </x:row>
    <x:row r="42">
      <x:c r="A42" s="85" t="str">
        <x:v>MENU-037</x:v>
      </x:c>
      <x:c r="B42" s="85" t="str">
        <x:v>Workforce</x:v>
      </x:c>
      <x:c r="C42" s="85" t="str">
        <x:v>Team timesheets</x:v>
      </x:c>
      <x:c r="D42" s="85" t="str">
        <x:v>/team/timesheets</x:v>
      </x:c>
      <x:c r="E42" s="85" t="str">
        <x:v>projects.timesheets.approve</x:v>
      </x:c>
      <x:c r="F42" s="85" t="str">
        <x:v>projectsNav</x:v>
      </x:c>
      <x:c r="G42" s="85" t="str">
        <x:v>Authenticated scoped persona; Company/Branch context selected when required.</x:v>
      </x:c>
      <x:c r="H42" s="85" t="str">
        <x:v>Open Team timesheets; verify list/detail or workspace actions permitted by role.</x:v>
      </x:c>
      <x:c r="I42" s="85" t="str">
        <x:v>Required fields, foreign IDs, stale version, double submit and validation messages.</x:v>
      </x:c>
      <x:c r="J42" s="85" t="str">
        <x:v>Denied is explicit; no data leak; disabled/not configured is not Pass.</x:v>
      </x:c>
      <x:c r="K42" s="85" t="str">
        <x:v>Loading, empty, not configured, degraded, error, retry and conflict are distinct.</x:v>
      </x:c>
      <x:c r="L42" s="85" t="str">
        <x:v>Desktop + tablet + mobile</x:v>
      </x:c>
      <x:c r="M42" s="85" t="str">
        <x:v>E2E-MENU-037</x:v>
      </x:c>
      <x:c r="N42" s="85" t="str">
        <x:v>MAN-MENU-037</x:v>
      </x:c>
      <x:c r="O42" s="85" t="str">
        <x:v>Historical authenticated surface passed; full workflow Not Run</x:v>
      </x:c>
      <x:c r="P42" s="85" t="str">
        <x:v>backend/.qa-runs/authenticated-smoke-playwright-20260918T104017949Z-9975f254.log</x:v>
      </x:c>
    </x:row>
    <x:row r="43">
      <x:c r="A43" s="85" t="str">
        <x:v>MENU-038</x:v>
      </x:c>
      <x:c r="B43" s="85" t="str">
        <x:v>Payroll</x:v>
      </x:c>
      <x:c r="C43" s="85" t="str">
        <x:v>Payroll</x:v>
      </x:c>
      <x:c r="D43" s="85" t="str">
        <x:v>/hr/payroll</x:v>
      </x:c>
      <x:c r="E43" s="85" t="str">
        <x:v>payroll.payroll.read</x:v>
      </x:c>
      <x:c r="F43" s="85" t="str">
        <x:v>payrollNav</x:v>
      </x:c>
      <x:c r="G43" s="85" t="str">
        <x:v>Authenticated scoped persona; Company/Branch context selected when required.</x:v>
      </x:c>
      <x:c r="H43" s="85" t="str">
        <x:v>Open Payroll; verify list/detail or workspace actions permitted by role.</x:v>
      </x:c>
      <x:c r="I43" s="85" t="str">
        <x:v>Required fields, foreign IDs, stale version, double submit and validation messages.</x:v>
      </x:c>
      <x:c r="J43" s="85" t="str">
        <x:v>Denied is explicit; no data leak; disabled/not configured is not Pass.</x:v>
      </x:c>
      <x:c r="K43" s="85" t="str">
        <x:v>Loading, empty, not configured, degraded, error, retry and conflict are distinct.</x:v>
      </x:c>
      <x:c r="L43" s="85" t="str">
        <x:v>Desktop + tablet + mobile</x:v>
      </x:c>
      <x:c r="M43" s="85" t="str">
        <x:v>E2E-MENU-038</x:v>
      </x:c>
      <x:c r="N43" s="85" t="str">
        <x:v>MAN-MENU-038</x:v>
      </x:c>
      <x:c r="O43" s="85" t="str">
        <x:v>Historical authenticated surface passed; full workflow Not Run</x:v>
      </x:c>
      <x:c r="P43" s="85" t="str">
        <x:v>backend/.qa-runs/authenticated-smoke-playwright-20260918T104017949Z-9975f254.log</x:v>
      </x:c>
    </x:row>
    <x:row r="44">
      <x:c r="A44" s="85" t="str">
        <x:v>MENU-039</x:v>
      </x:c>
      <x:c r="B44" s="85" t="str">
        <x:v>Projects</x:v>
      </x:c>
      <x:c r="C44" s="85" t="str">
        <x:v>Projects</x:v>
      </x:c>
      <x:c r="D44" s="85" t="str">
        <x:v>/projects/projects</x:v>
      </x:c>
      <x:c r="E44" s="85" t="str">
        <x:v>projects.projects.read</x:v>
      </x:c>
      <x:c r="F44" s="85" t="str">
        <x:v>projectsNav</x:v>
      </x:c>
      <x:c r="G44" s="85" t="str">
        <x:v>Authenticated scoped persona; Company/Branch context selected when required.</x:v>
      </x:c>
      <x:c r="H44" s="85" t="str">
        <x:v>Open Projects; verify list/detail or workspace actions permitted by role.</x:v>
      </x:c>
      <x:c r="I44" s="85" t="str">
        <x:v>Required fields, foreign IDs, stale version, double submit and validation messages.</x:v>
      </x:c>
      <x:c r="J44" s="85" t="str">
        <x:v>Denied is explicit; no data leak; disabled/not configured is not Pass.</x:v>
      </x:c>
      <x:c r="K44" s="85" t="str">
        <x:v>Loading, empty, not configured, degraded, error, retry and conflict are distinct.</x:v>
      </x:c>
      <x:c r="L44" s="85" t="str">
        <x:v>Desktop + tablet + mobile</x:v>
      </x:c>
      <x:c r="M44" s="85" t="str">
        <x:v>E2E-MENU-039</x:v>
      </x:c>
      <x:c r="N44" s="85" t="str">
        <x:v>MAN-MENU-039</x:v>
      </x:c>
      <x:c r="O44" s="85" t="str">
        <x:v>Historical authenticated surface passed; full workflow Not Run</x:v>
      </x:c>
      <x:c r="P44" s="85" t="str">
        <x:v>backend/.qa-runs/authenticated-smoke-playwright-20260918T104017949Z-9975f254.log</x:v>
      </x:c>
    </x:row>
    <x:row r="45">
      <x:c r="A45" s="85" t="str">
        <x:v>MENU-040</x:v>
      </x:c>
      <x:c r="B45" s="85" t="str">
        <x:v>Finance</x:v>
      </x:c>
      <x:c r="C45" s="85" t="str">
        <x:v>Dashboard</x:v>
      </x:c>
      <x:c r="D45" s="85" t="str">
        <x:v>/office-finance</x:v>
      </x:c>
      <x:c r="E45" s="85" t="str">
        <x:v>finance.reports.read</x:v>
      </x:c>
      <x:c r="F45" s="85" t="str">
        <x:v>financeNav</x:v>
      </x:c>
      <x:c r="G45" s="85" t="str">
        <x:v>Authenticated scoped persona; Company/Branch context selected when required.</x:v>
      </x:c>
      <x:c r="H45" s="85" t="str">
        <x:v>Open Dashboard; verify list/detail or workspace actions permitted by role.</x:v>
      </x:c>
      <x:c r="I45" s="85" t="str">
        <x:v>Required fields, foreign IDs, stale version, double submit and validation messages.</x:v>
      </x:c>
      <x:c r="J45" s="85" t="str">
        <x:v>Denied is explicit; no data leak; disabled/not configured is not Pass.</x:v>
      </x:c>
      <x:c r="K45" s="85" t="str">
        <x:v>Loading, empty, not configured, degraded, error, retry and conflict are distinct.</x:v>
      </x:c>
      <x:c r="L45" s="85" t="str">
        <x:v>Desktop + tablet + mobile</x:v>
      </x:c>
      <x:c r="M45" s="85" t="str">
        <x:v>E2E-MENU-040</x:v>
      </x:c>
      <x:c r="N45" s="85" t="str">
        <x:v>MAN-MENU-040</x:v>
      </x:c>
      <x:c r="O45" s="85" t="str">
        <x:v>Historical authenticated surface passed; full workflow Not Run</x:v>
      </x:c>
      <x:c r="P45" s="85" t="str">
        <x:v>backend/.qa-runs/authenticated-smoke-playwright-20260918T104017949Z-9975f254.log</x:v>
      </x:c>
    </x:row>
    <x:row r="46">
      <x:c r="A46" s="85" t="str">
        <x:v>MENU-041</x:v>
      </x:c>
      <x:c r="B46" s="85" t="str">
        <x:v>Finance</x:v>
      </x:c>
      <x:c r="C46" s="85" t="str">
        <x:v>Reports</x:v>
      </x:c>
      <x:c r="D46" s="85" t="str">
        <x:v>/office-finance/reports</x:v>
      </x:c>
      <x:c r="E46" s="85" t="str">
        <x:v>finance.reports.read</x:v>
      </x:c>
      <x:c r="F46" s="85" t="str">
        <x:v>financeNav</x:v>
      </x:c>
      <x:c r="G46" s="85" t="str">
        <x:v>Authenticated scoped persona; Company/Branch context selected when required.</x:v>
      </x:c>
      <x:c r="H46" s="85" t="str">
        <x:v>Open Reports; verify list/detail or workspace actions permitted by role.</x:v>
      </x:c>
      <x:c r="I46" s="85" t="str">
        <x:v>Required fields, foreign IDs, stale version, double submit and validation messages.</x:v>
      </x:c>
      <x:c r="J46" s="85" t="str">
        <x:v>Denied is explicit; no data leak; disabled/not configured is not Pass.</x:v>
      </x:c>
      <x:c r="K46" s="85" t="str">
        <x:v>Loading, empty, not configured, degraded, error, retry and conflict are distinct.</x:v>
      </x:c>
      <x:c r="L46" s="85" t="str">
        <x:v>Desktop + tablet + mobile</x:v>
      </x:c>
      <x:c r="M46" s="85" t="str">
        <x:v>E2E-MENU-041</x:v>
      </x:c>
      <x:c r="N46" s="85" t="str">
        <x:v>MAN-MENU-041</x:v>
      </x:c>
      <x:c r="O46" s="85" t="str">
        <x:v>Historical authenticated surface passed; full workflow Not Run</x:v>
      </x:c>
      <x:c r="P46" s="85" t="str">
        <x:v>backend/.qa-runs/authenticated-smoke-playwright-20260918T104017949Z-9975f254.log</x:v>
      </x:c>
    </x:row>
    <x:row r="47">
      <x:c r="A47" s="85" t="str">
        <x:v>MENU-042</x:v>
      </x:c>
      <x:c r="B47" s="85" t="str">
        <x:v>Finance</x:v>
      </x:c>
      <x:c r="C47" s="85" t="str">
        <x:v>Finance</x:v>
      </x:c>
      <x:c r="D47" s="85" t="str">
        <x:v>/office-finance/setup</x:v>
      </x:c>
      <x:c r="E47" s="85" t="str">
        <x:v>finance.settings.manage OR finance.transactions.read</x:v>
      </x:c>
      <x:c r="F47" s="85" t="str">
        <x:v>financeNav</x:v>
      </x:c>
      <x:c r="G47" s="85" t="str">
        <x:v>Authenticated scoped persona; Company/Branch context selected when required.</x:v>
      </x:c>
      <x:c r="H47" s="85" t="str">
        <x:v>Open Finance; verify list/detail or workspace actions permitted by role.</x:v>
      </x:c>
      <x:c r="I47" s="85" t="str">
        <x:v>Required fields, foreign IDs, stale version, double submit and validation messages.</x:v>
      </x:c>
      <x:c r="J47" s="85" t="str">
        <x:v>Denied is explicit; no data leak; disabled/not configured is not Pass.</x:v>
      </x:c>
      <x:c r="K47" s="85" t="str">
        <x:v>Loading, empty, not configured, degraded, error, retry and conflict are distinct.</x:v>
      </x:c>
      <x:c r="L47" s="85" t="str">
        <x:v>Desktop + tablet + mobile</x:v>
      </x:c>
      <x:c r="M47" s="85" t="str">
        <x:v>E2E-MENU-042</x:v>
      </x:c>
      <x:c r="N47" s="85" t="str">
        <x:v>MAN-MENU-042</x:v>
      </x:c>
      <x:c r="O47" s="85" t="str">
        <x:v>Historical authenticated surface passed; full workflow Not Run</x:v>
      </x:c>
      <x:c r="P47" s="85" t="str">
        <x:v>backend/.qa-runs/authenticated-smoke-playwright-20260918T104017949Z-9975f254.log</x:v>
      </x:c>
    </x:row>
    <x:row r="48">
      <x:c r="A48" s="85" t="str">
        <x:v>MENU-043</x:v>
      </x:c>
      <x:c r="B48" s="85" t="str">
        <x:v>Finance</x:v>
      </x:c>
      <x:c r="C48" s="85" t="str">
        <x:v>Transactions</x:v>
      </x:c>
      <x:c r="D48" s="85" t="str">
        <x:v>/office-finance/transactions</x:v>
      </x:c>
      <x:c r="E48" s="85" t="str">
        <x:v>finance.transactions.read</x:v>
      </x:c>
      <x:c r="F48" s="85" t="str">
        <x:v>financeNav</x:v>
      </x:c>
      <x:c r="G48" s="85" t="str">
        <x:v>Authenticated scoped persona; Company/Branch context selected when required.</x:v>
      </x:c>
      <x:c r="H48" s="85" t="str">
        <x:v>Open Transactions; verify list/detail or workspace actions permitted by role.</x:v>
      </x:c>
      <x:c r="I48" s="85" t="str">
        <x:v>Required fields, foreign IDs, stale version, double submit and validation messages.</x:v>
      </x:c>
      <x:c r="J48" s="85" t="str">
        <x:v>Denied is explicit; no data leak; disabled/not configured is not Pass.</x:v>
      </x:c>
      <x:c r="K48" s="85" t="str">
        <x:v>Loading, empty, not configured, degraded, error, retry and conflict are distinct.</x:v>
      </x:c>
      <x:c r="L48" s="85" t="str">
        <x:v>Desktop + tablet + mobile</x:v>
      </x:c>
      <x:c r="M48" s="85" t="str">
        <x:v>E2E-MENU-043</x:v>
      </x:c>
      <x:c r="N48" s="85" t="str">
        <x:v>MAN-MENU-043</x:v>
      </x:c>
      <x:c r="O48" s="85" t="str">
        <x:v>Historical authenticated surface passed; full workflow Not Run</x:v>
      </x:c>
      <x:c r="P48" s="85" t="str">
        <x:v>backend/.qa-runs/authenticated-smoke-playwright-20260918T104017949Z-9975f254.log</x:v>
      </x:c>
    </x:row>
    <x:row r="49">
      <x:c r="A49" s="85" t="str">
        <x:v>MENU-044</x:v>
      </x:c>
      <x:c r="B49" s="85" t="str">
        <x:v>Assets &amp; Licences</x:v>
      </x:c>
      <x:c r="C49" s="85" t="str">
        <x:v>Asset categories</x:v>
      </x:c>
      <x:c r="D49" s="85" t="str">
        <x:v>/asset-management/asset-categories</x:v>
      </x:c>
      <x:c r="E49" s="85" t="str">
        <x:v>assets.assets.read</x:v>
      </x:c>
      <x:c r="F49" s="85" t="str">
        <x:v>assetsNav</x:v>
      </x:c>
      <x:c r="G49" s="85" t="str">
        <x:v>Authenticated scoped persona; Company/Branch context selected when required.</x:v>
      </x:c>
      <x:c r="H49" s="85" t="str">
        <x:v>Open Asset categories; verify list/detail or workspace actions permitted by role.</x:v>
      </x:c>
      <x:c r="I49" s="85" t="str">
        <x:v>Required fields, foreign IDs, stale version, double submit and validation messages.</x:v>
      </x:c>
      <x:c r="J49" s="85" t="str">
        <x:v>Denied is explicit; no data leak; disabled/not configured is not Pass.</x:v>
      </x:c>
      <x:c r="K49" s="85" t="str">
        <x:v>Loading, empty, not configured, degraded, error, retry and conflict are distinct.</x:v>
      </x:c>
      <x:c r="L49" s="85" t="str">
        <x:v>Desktop + tablet + mobile</x:v>
      </x:c>
      <x:c r="M49" s="85" t="str">
        <x:v>E2E-MENU-044</x:v>
      </x:c>
      <x:c r="N49" s="85" t="str">
        <x:v>MAN-MENU-044</x:v>
      </x:c>
      <x:c r="O49" s="85" t="str">
        <x:v>Historical authenticated surface passed; full workflow Not Run</x:v>
      </x:c>
      <x:c r="P49" s="85" t="str">
        <x:v>backend/.qa-runs/authenticated-smoke-playwright-20260918T104017949Z-9975f254.log</x:v>
      </x:c>
    </x:row>
    <x:row r="50">
      <x:c r="A50" s="85" t="str">
        <x:v>MENU-045</x:v>
      </x:c>
      <x:c r="B50" s="85" t="str">
        <x:v>Assets &amp; Licences</x:v>
      </x:c>
      <x:c r="C50" s="85" t="str">
        <x:v>Asset types</x:v>
      </x:c>
      <x:c r="D50" s="85" t="str">
        <x:v>/asset-management/asset-types</x:v>
      </x:c>
      <x:c r="E50" s="85" t="str">
        <x:v>assets.assets.read</x:v>
      </x:c>
      <x:c r="F50" s="85" t="str">
        <x:v>assetsNav</x:v>
      </x:c>
      <x:c r="G50" s="85" t="str">
        <x:v>Authenticated scoped persona; Company/Branch context selected when required.</x:v>
      </x:c>
      <x:c r="H50" s="85" t="str">
        <x:v>Open Asset types; verify list/detail or workspace actions permitted by role.</x:v>
      </x:c>
      <x:c r="I50" s="85" t="str">
        <x:v>Required fields, foreign IDs, stale version, double submit and validation messages.</x:v>
      </x:c>
      <x:c r="J50" s="85" t="str">
        <x:v>Denied is explicit; no data leak; disabled/not configured is not Pass.</x:v>
      </x:c>
      <x:c r="K50" s="85" t="str">
        <x:v>Loading, empty, not configured, degraded, error, retry and conflict are distinct.</x:v>
      </x:c>
      <x:c r="L50" s="85" t="str">
        <x:v>Desktop + tablet + mobile</x:v>
      </x:c>
      <x:c r="M50" s="85" t="str">
        <x:v>E2E-MENU-045</x:v>
      </x:c>
      <x:c r="N50" s="85" t="str">
        <x:v>MAN-MENU-045</x:v>
      </x:c>
      <x:c r="O50" s="85" t="str">
        <x:v>Historical authenticated surface passed; full workflow Not Run</x:v>
      </x:c>
      <x:c r="P50" s="85" t="str">
        <x:v>backend/.qa-runs/authenticated-smoke-playwright-20260918T104017949Z-9975f254.log</x:v>
      </x:c>
    </x:row>
    <x:row r="51">
      <x:c r="A51" s="85" t="str">
        <x:v>MENU-046</x:v>
      </x:c>
      <x:c r="B51" s="85" t="str">
        <x:v>Assets &amp; Licences</x:v>
      </x:c>
      <x:c r="C51" s="85" t="str">
        <x:v>Assets</x:v>
      </x:c>
      <x:c r="D51" s="85" t="str">
        <x:v>/asset-management/assets</x:v>
      </x:c>
      <x:c r="E51" s="85" t="str">
        <x:v>assets.assets.read</x:v>
      </x:c>
      <x:c r="F51" s="85" t="str">
        <x:v>assetsNav</x:v>
      </x:c>
      <x:c r="G51" s="85" t="str">
        <x:v>Authenticated scoped persona; Company/Branch context selected when required.</x:v>
      </x:c>
      <x:c r="H51" s="85" t="str">
        <x:v>Open Assets; verify list/detail or workspace actions permitted by role.</x:v>
      </x:c>
      <x:c r="I51" s="85" t="str">
        <x:v>Required fields, foreign IDs, stale version, double submit and validation messages.</x:v>
      </x:c>
      <x:c r="J51" s="85" t="str">
        <x:v>Denied is explicit; no data leak; disabled/not configured is not Pass.</x:v>
      </x:c>
      <x:c r="K51" s="85" t="str">
        <x:v>Loading, empty, not configured, degraded, error, retry and conflict are distinct.</x:v>
      </x:c>
      <x:c r="L51" s="85" t="str">
        <x:v>Desktop + tablet + mobile</x:v>
      </x:c>
      <x:c r="M51" s="85" t="str">
        <x:v>E2E-MENU-046</x:v>
      </x:c>
      <x:c r="N51" s="85" t="str">
        <x:v>MAN-MENU-046</x:v>
      </x:c>
      <x:c r="O51" s="85" t="str">
        <x:v>Historical authenticated surface passed; full workflow Not Run</x:v>
      </x:c>
      <x:c r="P51" s="85" t="str">
        <x:v>backend/.qa-runs/authenticated-smoke-playwright-20260918T104017949Z-9975f254.log</x:v>
      </x:c>
    </x:row>
    <x:row r="52">
      <x:c r="A52" s="85" t="str">
        <x:v>MENU-047</x:v>
      </x:c>
      <x:c r="B52" s="85" t="str">
        <x:v>Assets &amp; Licences</x:v>
      </x:c>
      <x:c r="C52" s="85" t="str">
        <x:v>Department grants</x:v>
      </x:c>
      <x:c r="D52" s="85" t="str">
        <x:v>/asset-management/department-grants</x:v>
      </x:c>
      <x:c r="E52" s="85" t="str">
        <x:v>assets.department-access.manage</x:v>
      </x:c>
      <x:c r="F52" s="85" t="str">
        <x:v>assetsNav</x:v>
      </x:c>
      <x:c r="G52" s="85" t="str">
        <x:v>Authenticated scoped persona; Company/Branch context selected when required.</x:v>
      </x:c>
      <x:c r="H52" s="85" t="str">
        <x:v>Open Department grants; verify list/detail or workspace actions permitted by role.</x:v>
      </x:c>
      <x:c r="I52" s="85" t="str">
        <x:v>Required fields, foreign IDs, stale version, double submit and validation messages.</x:v>
      </x:c>
      <x:c r="J52" s="85" t="str">
        <x:v>Denied is explicit; no data leak; disabled/not configured is not Pass.</x:v>
      </x:c>
      <x:c r="K52" s="85" t="str">
        <x:v>Loading, empty, not configured, degraded, error, retry and conflict are distinct.</x:v>
      </x:c>
      <x:c r="L52" s="85" t="str">
        <x:v>Desktop + tablet + mobile</x:v>
      </x:c>
      <x:c r="M52" s="85" t="str">
        <x:v>E2E-MENU-047</x:v>
      </x:c>
      <x:c r="N52" s="85" t="str">
        <x:v>MAN-MENU-047</x:v>
      </x:c>
      <x:c r="O52" s="85" t="str">
        <x:v>Historical authenticated surface passed; full workflow Not Run</x:v>
      </x:c>
      <x:c r="P52" s="85" t="str">
        <x:v>backend/.qa-runs/authenticated-smoke-playwright-20260918T104017949Z-9975f254.log</x:v>
      </x:c>
    </x:row>
    <x:row r="53">
      <x:c r="A53" s="85" t="str">
        <x:v>MENU-048</x:v>
      </x:c>
      <x:c r="B53" s="85" t="str">
        <x:v>Assets &amp; Licences</x:v>
      </x:c>
      <x:c r="C53" s="85" t="str">
        <x:v>Assigned to employees</x:v>
      </x:c>
      <x:c r="D53" s="85" t="str">
        <x:v>/asset-management/employee-assets</x:v>
      </x:c>
      <x:c r="E53" s="85" t="str">
        <x:v>assets.assignments.read</x:v>
      </x:c>
      <x:c r="F53" s="85" t="str">
        <x:v>assetsNav</x:v>
      </x:c>
      <x:c r="G53" s="85" t="str">
        <x:v>Authenticated scoped persona; Company/Branch context selected when required.</x:v>
      </x:c>
      <x:c r="H53" s="85" t="str">
        <x:v>Open Assigned to employees; verify list/detail or workspace actions permitted by role.</x:v>
      </x:c>
      <x:c r="I53" s="85" t="str">
        <x:v>Required fields, foreign IDs, stale version, double submit and validation messages.</x:v>
      </x:c>
      <x:c r="J53" s="85" t="str">
        <x:v>Denied is explicit; no data leak; disabled/not configured is not Pass.</x:v>
      </x:c>
      <x:c r="K53" s="85" t="str">
        <x:v>Loading, empty, not configured, degraded, error, retry and conflict are distinct.</x:v>
      </x:c>
      <x:c r="L53" s="85" t="str">
        <x:v>Desktop + tablet + mobile</x:v>
      </x:c>
      <x:c r="M53" s="85" t="str">
        <x:v>E2E-MENU-048</x:v>
      </x:c>
      <x:c r="N53" s="85" t="str">
        <x:v>MAN-MENU-048</x:v>
      </x:c>
      <x:c r="O53" s="85" t="str">
        <x:v>Historical authenticated surface passed; full workflow Not Run</x:v>
      </x:c>
      <x:c r="P53" s="85" t="str">
        <x:v>backend/.qa-runs/authenticated-smoke-playwright-20260918T104017949Z-9975f254.log</x:v>
      </x:c>
    </x:row>
    <x:row r="54">
      <x:c r="A54" s="85" t="str">
        <x:v>MENU-049</x:v>
      </x:c>
      <x:c r="B54" s="85" t="str">
        <x:v>Assets &amp; Licences</x:v>
      </x:c>
      <x:c r="C54" s="85" t="str">
        <x:v>Custodian inbox</x:v>
      </x:c>
      <x:c r="D54" s="85" t="str">
        <x:v>/asset-management/inbox</x:v>
      </x:c>
      <x:c r="E54" s="85" t="str">
        <x:v>assets.assignments.read OR assets.department.assignments.read</x:v>
      </x:c>
      <x:c r="F54" s="85" t="str">
        <x:v>assetsNav</x:v>
      </x:c>
      <x:c r="G54" s="85" t="str">
        <x:v>Authenticated scoped persona; Company/Branch context selected when required.</x:v>
      </x:c>
      <x:c r="H54" s="85" t="str">
        <x:v>Open Custodian inbox; verify list/detail or workspace actions permitted by role.</x:v>
      </x:c>
      <x:c r="I54" s="85" t="str">
        <x:v>Required fields, foreign IDs, stale version, double submit and validation messages.</x:v>
      </x:c>
      <x:c r="J54" s="85" t="str">
        <x:v>Denied is explicit; no data leak; disabled/not configured is not Pass.</x:v>
      </x:c>
      <x:c r="K54" s="85" t="str">
        <x:v>Loading, empty, not configured, degraded, error, retry and conflict are distinct.</x:v>
      </x:c>
      <x:c r="L54" s="85" t="str">
        <x:v>Desktop + tablet + mobile</x:v>
      </x:c>
      <x:c r="M54" s="85" t="str">
        <x:v>E2E-MENU-049</x:v>
      </x:c>
      <x:c r="N54" s="85" t="str">
        <x:v>MAN-MENU-049</x:v>
      </x:c>
      <x:c r="O54" s="85" t="str">
        <x:v>Historical authenticated surface passed; full workflow Not Run</x:v>
      </x:c>
      <x:c r="P54" s="85" t="str">
        <x:v>backend/.qa-runs/authenticated-smoke-playwright-20260918T104017949Z-9975f254.log</x:v>
      </x:c>
    </x:row>
    <x:row r="55">
      <x:c r="A55" s="85" t="str">
        <x:v>MENU-050</x:v>
      </x:c>
      <x:c r="B55" s="85" t="str">
        <x:v>Assets &amp; Licences</x:v>
      </x:c>
      <x:c r="C55" s="85" t="str">
        <x:v>Licences</x:v>
      </x:c>
      <x:c r="D55" s="85" t="str">
        <x:v>/asset-management/licenses</x:v>
      </x:c>
      <x:c r="E55" s="85" t="str">
        <x:v>assets.assignments.read OR assets.department.assignments.read OR assets.assets.read</x:v>
      </x:c>
      <x:c r="F55" s="85" t="str">
        <x:v>assetsNav</x:v>
      </x:c>
      <x:c r="G55" s="85" t="str">
        <x:v>Authenticated scoped persona; Company/Branch context selected when required.</x:v>
      </x:c>
      <x:c r="H55" s="85" t="str">
        <x:v>Open Licences; verify list/detail or workspace actions permitted by role.</x:v>
      </x:c>
      <x:c r="I55" s="85" t="str">
        <x:v>Required fields, foreign IDs, stale version, double submit and validation messages.</x:v>
      </x:c>
      <x:c r="J55" s="85" t="str">
        <x:v>Denied is explicit; no data leak; disabled/not configured is not Pass.</x:v>
      </x:c>
      <x:c r="K55" s="85" t="str">
        <x:v>Loading, empty, not configured, degraded, error, retry and conflict are distinct.</x:v>
      </x:c>
      <x:c r="L55" s="85" t="str">
        <x:v>Desktop + tablet + mobile</x:v>
      </x:c>
      <x:c r="M55" s="85" t="str">
        <x:v>E2E-MENU-050</x:v>
      </x:c>
      <x:c r="N55" s="85" t="str">
        <x:v>MAN-MENU-050</x:v>
      </x:c>
      <x:c r="O55" s="85" t="str">
        <x:v>Historical authenticated surface passed; full workflow Not Run</x:v>
      </x:c>
      <x:c r="P55" s="85" t="str">
        <x:v>backend/.qa-runs/authenticated-smoke-playwright-20260918T104017949Z-9975f254.log</x:v>
      </x:c>
    </x:row>
    <x:row r="56">
      <x:c r="A56" s="85" t="str">
        <x:v>MENU-051</x:v>
      </x:c>
      <x:c r="B56" s="85" t="str">
        <x:v>Assets &amp; Licences</x:v>
      </x:c>
      <x:c r="C56" s="85" t="str">
        <x:v>Transfers</x:v>
      </x:c>
      <x:c r="D56" s="85" t="str">
        <x:v>/asset-management/transfers</x:v>
      </x:c>
      <x:c r="E56" s="85" t="str">
        <x:v>assets.assets.read OR assets.department.read</x:v>
      </x:c>
      <x:c r="F56" s="85" t="str">
        <x:v>assetsNav</x:v>
      </x:c>
      <x:c r="G56" s="85" t="str">
        <x:v>Authenticated scoped persona; Company/Branch context selected when required.</x:v>
      </x:c>
      <x:c r="H56" s="85" t="str">
        <x:v>Open Transfers; verify list/detail or workspace actions permitted by role.</x:v>
      </x:c>
      <x:c r="I56" s="85" t="str">
        <x:v>Required fields, foreign IDs, stale version, double submit and validation messages.</x:v>
      </x:c>
      <x:c r="J56" s="85" t="str">
        <x:v>Denied is explicit; no data leak; disabled/not configured is not Pass.</x:v>
      </x:c>
      <x:c r="K56" s="85" t="str">
        <x:v>Loading, empty, not configured, degraded, error, retry and conflict are distinct.</x:v>
      </x:c>
      <x:c r="L56" s="85" t="str">
        <x:v>Desktop + tablet + mobile</x:v>
      </x:c>
      <x:c r="M56" s="85" t="str">
        <x:v>E2E-MENU-051</x:v>
      </x:c>
      <x:c r="N56" s="85" t="str">
        <x:v>MAN-MENU-051</x:v>
      </x:c>
      <x:c r="O56" s="85" t="str">
        <x:v>Historical authenticated surface passed; full workflow Not Run</x:v>
      </x:c>
      <x:c r="P56" s="85" t="str">
        <x:v>backend/.qa-runs/authenticated-smoke-playwright-20260918T104017949Z-9975f254.log</x:v>
      </x:c>
    </x:row>
    <x:row r="57">
      <x:c r="A57" s="85" t="str">
        <x:v>MENU-052</x:v>
      </x:c>
      <x:c r="B57" s="85" t="str">
        <x:v>Assets &amp; Licences</x:v>
      </x:c>
      <x:c r="C57" s="85" t="str">
        <x:v>Clearance waivers</x:v>
      </x:c>
      <x:c r="D57" s="85" t="str">
        <x:v>/asset-management/waivers</x:v>
      </x:c>
      <x:c r="E57" s="85" t="str">
        <x:v>assets.clearance.waive</x:v>
      </x:c>
      <x:c r="F57" s="85" t="str">
        <x:v>assetsNav</x:v>
      </x:c>
      <x:c r="G57" s="85" t="str">
        <x:v>Authenticated scoped persona; Company/Branch context selected when required.</x:v>
      </x:c>
      <x:c r="H57" s="85" t="str">
        <x:v>Open Clearance waivers; verify list/detail or workspace actions permitted by role.</x:v>
      </x:c>
      <x:c r="I57" s="85" t="str">
        <x:v>Required fields, foreign IDs, stale version, double submit and validation messages.</x:v>
      </x:c>
      <x:c r="J57" s="85" t="str">
        <x:v>Denied is explicit; no data leak; disabled/not configured is not Pass.</x:v>
      </x:c>
      <x:c r="K57" s="85" t="str">
        <x:v>Loading, empty, not configured, degraded, error, retry and conflict are distinct.</x:v>
      </x:c>
      <x:c r="L57" s="85" t="str">
        <x:v>Desktop + tablet + mobile</x:v>
      </x:c>
      <x:c r="M57" s="85" t="str">
        <x:v>E2E-MENU-052</x:v>
      </x:c>
      <x:c r="N57" s="85" t="str">
        <x:v>MAN-MENU-052</x:v>
      </x:c>
      <x:c r="O57" s="85" t="str">
        <x:v>Historical authenticated surface passed; full workflow Not Run</x:v>
      </x:c>
      <x:c r="P57" s="85" t="str">
        <x:v>backend/.qa-runs/authenticated-smoke-playwright-20260918T104017949Z-9975f254.log</x:v>
      </x:c>
    </x:row>
    <x:row r="58">
      <x:c r="A58" s="85" t="str">
        <x:v>MENU-053</x:v>
      </x:c>
      <x:c r="B58" s="85" t="str">
        <x:v>Setup</x:v>
      </x:c>
      <x:c r="C58" s="85" t="str">
        <x:v>Approval workflows</x:v>
      </x:c>
      <x:c r="D58" s="85" t="str">
        <x:v>/administration/approval-workflows</x:v>
      </x:c>
      <x:c r="E58" s="85" t="str">
        <x:v>organization.companies.manage OR workflow.workflow.manage OR hr.requests.manage</x:v>
      </x:c>
      <x:c r="F58" s="85" t="str">
        <x:v>None</x:v>
      </x:c>
      <x:c r="G58" s="85" t="str">
        <x:v>Authenticated scoped persona; Company/Branch context selected when required.</x:v>
      </x:c>
      <x:c r="H58" s="85" t="str">
        <x:v>Open Approval workflows; verify list/detail or workspace actions permitted by role.</x:v>
      </x:c>
      <x:c r="I58" s="85" t="str">
        <x:v>Required fields, foreign IDs, stale version, double submit and validation messages.</x:v>
      </x:c>
      <x:c r="J58" s="85" t="str">
        <x:v>Denied is explicit; no data leak; disabled/not configured is not Pass.</x:v>
      </x:c>
      <x:c r="K58" s="85" t="str">
        <x:v>Loading, empty, not configured, degraded, error, retry and conflict are distinct.</x:v>
      </x:c>
      <x:c r="L58" s="85" t="str">
        <x:v>Desktop + tablet + mobile</x:v>
      </x:c>
      <x:c r="M58" s="85" t="str">
        <x:v>E2E-MENU-053</x:v>
      </x:c>
      <x:c r="N58" s="85" t="str">
        <x:v>MAN-MENU-053</x:v>
      </x:c>
      <x:c r="O58" s="85" t="str">
        <x:v>Added after browser evidence; authenticated audit pending</x:v>
      </x:c>
      <x:c r="P58" s="85" t="str"/>
    </x:row>
    <x:row r="59">
      <x:c r="A59" s="85" t="str">
        <x:v>MENU-054</x:v>
      </x:c>
      <x:c r="B59" s="85" t="str">
        <x:v>Setup</x:v>
      </x:c>
      <x:c r="C59" s="85" t="str">
        <x:v>Branches</x:v>
      </x:c>
      <x:c r="D59" s="85" t="str">
        <x:v>/administration/branches</x:v>
      </x:c>
      <x:c r="E59" s="85" t="str">
        <x:v>organization.branches.read</x:v>
      </x:c>
      <x:c r="F59" s="85" t="str">
        <x:v>None</x:v>
      </x:c>
      <x:c r="G59" s="85" t="str">
        <x:v>Authenticated scoped persona; Company/Branch context selected when required.</x:v>
      </x:c>
      <x:c r="H59" s="85" t="str">
        <x:v>Open Branches; verify list/detail or workspace actions permitted by role.</x:v>
      </x:c>
      <x:c r="I59" s="85" t="str">
        <x:v>Required fields, foreign IDs, stale version, double submit and validation messages.</x:v>
      </x:c>
      <x:c r="J59" s="85" t="str">
        <x:v>Denied is explicit; no data leak; disabled/not configured is not Pass.</x:v>
      </x:c>
      <x:c r="K59" s="85" t="str">
        <x:v>Loading, empty, not configured, degraded, error, retry and conflict are distinct.</x:v>
      </x:c>
      <x:c r="L59" s="85" t="str">
        <x:v>Desktop + tablet + mobile</x:v>
      </x:c>
      <x:c r="M59" s="85" t="str">
        <x:v>E2E-MENU-054</x:v>
      </x:c>
      <x:c r="N59" s="85" t="str">
        <x:v>MAN-MENU-054</x:v>
      </x:c>
      <x:c r="O59" s="85" t="str">
        <x:v>Historical authenticated surface passed; full workflow Not Run</x:v>
      </x:c>
      <x:c r="P59" s="85" t="str">
        <x:v>backend/.qa-runs/authenticated-smoke-playwright-20260918T104017949Z-9975f254.log</x:v>
      </x:c>
    </x:row>
    <x:row r="60">
      <x:c r="A60" s="85" t="str">
        <x:v>MENU-055</x:v>
      </x:c>
      <x:c r="B60" s="85" t="str">
        <x:v>Setup</x:v>
      </x:c>
      <x:c r="C60" s="85" t="str">
        <x:v>Business calendar</x:v>
      </x:c>
      <x:c r="D60" s="85" t="str">
        <x:v>/administration/business-calendar</x:v>
      </x:c>
      <x:c r="E60" s="85" t="str">
        <x:v>calendar.business.read</x:v>
      </x:c>
      <x:c r="F60" s="85" t="str">
        <x:v>None</x:v>
      </x:c>
      <x:c r="G60" s="85" t="str">
        <x:v>Authenticated scoped persona; Company/Branch context selected when required.</x:v>
      </x:c>
      <x:c r="H60" s="85" t="str">
        <x:v>Open Business calendar; verify list/detail or workspace actions permitted by role.</x:v>
      </x:c>
      <x:c r="I60" s="85" t="str">
        <x:v>Required fields, foreign IDs, stale version, double submit and validation messages.</x:v>
      </x:c>
      <x:c r="J60" s="85" t="str">
        <x:v>Denied is explicit; no data leak; disabled/not configured is not Pass.</x:v>
      </x:c>
      <x:c r="K60" s="85" t="str">
        <x:v>Loading, empty, not configured, degraded, error, retry and conflict are distinct.</x:v>
      </x:c>
      <x:c r="L60" s="85" t="str">
        <x:v>Desktop + tablet + mobile</x:v>
      </x:c>
      <x:c r="M60" s="85" t="str">
        <x:v>E2E-MENU-055</x:v>
      </x:c>
      <x:c r="N60" s="85" t="str">
        <x:v>MAN-MENU-055</x:v>
      </x:c>
      <x:c r="O60" s="85" t="str">
        <x:v>Historical authenticated surface passed; full workflow Not Run</x:v>
      </x:c>
      <x:c r="P60" s="85" t="str">
        <x:v>backend/.qa-runs/authenticated-smoke-playwright-20260918T104017949Z-9975f254.log</x:v>
      </x:c>
    </x:row>
    <x:row r="61">
      <x:c r="A61" s="85" t="str">
        <x:v>MENU-056</x:v>
      </x:c>
      <x:c r="B61" s="85" t="str">
        <x:v>Setup</x:v>
      </x:c>
      <x:c r="C61" s="85" t="str">
        <x:v>Companies</x:v>
      </x:c>
      <x:c r="D61" s="85" t="str">
        <x:v>/administration/companies</x:v>
      </x:c>
      <x:c r="E61" s="85" t="str">
        <x:v>organization.companies.read</x:v>
      </x:c>
      <x:c r="F61" s="85" t="str">
        <x:v>None</x:v>
      </x:c>
      <x:c r="G61" s="85" t="str">
        <x:v>Authenticated scoped persona; Company/Branch context selected when required.</x:v>
      </x:c>
      <x:c r="H61" s="85" t="str">
        <x:v>Open Companies; verify list/detail or workspace actions permitted by role.</x:v>
      </x:c>
      <x:c r="I61" s="85" t="str">
        <x:v>Required fields, foreign IDs, stale version, double submit and validation messages.</x:v>
      </x:c>
      <x:c r="J61" s="85" t="str">
        <x:v>Denied is explicit; no data leak; disabled/not configured is not Pass.</x:v>
      </x:c>
      <x:c r="K61" s="85" t="str">
        <x:v>Loading, empty, not configured, degraded, error, retry and conflict are distinct.</x:v>
      </x:c>
      <x:c r="L61" s="85" t="str">
        <x:v>Desktop + tablet + mobile</x:v>
      </x:c>
      <x:c r="M61" s="85" t="str">
        <x:v>E2E-MENU-056</x:v>
      </x:c>
      <x:c r="N61" s="85" t="str">
        <x:v>MAN-MENU-056</x:v>
      </x:c>
      <x:c r="O61" s="85" t="str">
        <x:v>Historical authenticated surface passed; full workflow Not Run</x:v>
      </x:c>
      <x:c r="P61" s="85" t="str">
        <x:v>backend/.qa-runs/authenticated-smoke-playwright-20260918T104017949Z-9975f254.log</x:v>
      </x:c>
    </x:row>
    <x:row r="62">
      <x:c r="A62" s="85" t="str">
        <x:v>MENU-057</x:v>
      </x:c>
      <x:c r="B62" s="85" t="str">
        <x:v>Setup</x:v>
      </x:c>
      <x:c r="C62" s="85" t="str">
        <x:v>Company groups</x:v>
      </x:c>
      <x:c r="D62" s="85" t="str">
        <x:v>/administration/company-groups</x:v>
      </x:c>
      <x:c r="E62" s="85" t="str">
        <x:v>organization.company-groups.read</x:v>
      </x:c>
      <x:c r="F62" s="85" t="str">
        <x:v>None</x:v>
      </x:c>
      <x:c r="G62" s="85" t="str">
        <x:v>Authenticated scoped persona; Company/Branch context selected when required.</x:v>
      </x:c>
      <x:c r="H62" s="85" t="str">
        <x:v>Open Company groups; verify list/detail or workspace actions permitted by role.</x:v>
      </x:c>
      <x:c r="I62" s="85" t="str">
        <x:v>Required fields, foreign IDs, stale version, double submit and validation messages.</x:v>
      </x:c>
      <x:c r="J62" s="85" t="str">
        <x:v>Denied is explicit; no data leak; disabled/not configured is not Pass.</x:v>
      </x:c>
      <x:c r="K62" s="85" t="str">
        <x:v>Loading, empty, not configured, degraded, error, retry and conflict are distinct.</x:v>
      </x:c>
      <x:c r="L62" s="85" t="str">
        <x:v>Desktop + tablet + mobile</x:v>
      </x:c>
      <x:c r="M62" s="85" t="str">
        <x:v>E2E-MENU-057</x:v>
      </x:c>
      <x:c r="N62" s="85" t="str">
        <x:v>MAN-MENU-057</x:v>
      </x:c>
      <x:c r="O62" s="85" t="str">
        <x:v>Historical authenticated surface passed; full workflow Not Run</x:v>
      </x:c>
      <x:c r="P62" s="85" t="str">
        <x:v>backend/.qa-runs/authenticated-smoke-playwright-20260918T104017949Z-9975f254.log</x:v>
      </x:c>
    </x:row>
    <x:row r="63">
      <x:c r="A63" s="85" t="str">
        <x:v>MENU-058</x:v>
      </x:c>
      <x:c r="B63" s="85" t="str">
        <x:v>Setup</x:v>
      </x:c>
      <x:c r="C63" s="85" t="str">
        <x:v>Departments</x:v>
      </x:c>
      <x:c r="D63" s="85" t="str">
        <x:v>/administration/departments</x:v>
      </x:c>
      <x:c r="E63" s="85" t="str">
        <x:v>organization.structure.read</x:v>
      </x:c>
      <x:c r="F63" s="85" t="str">
        <x:v>None</x:v>
      </x:c>
      <x:c r="G63" s="85" t="str">
        <x:v>Authenticated scoped persona; Company/Branch context selected when required.</x:v>
      </x:c>
      <x:c r="H63" s="85" t="str">
        <x:v>Open Departments; verify list/detail or workspace actions permitted by role.</x:v>
      </x:c>
      <x:c r="I63" s="85" t="str">
        <x:v>Required fields, foreign IDs, stale version, double submit and validation messages.</x:v>
      </x:c>
      <x:c r="J63" s="85" t="str">
        <x:v>Denied is explicit; no data leak; disabled/not configured is not Pass.</x:v>
      </x:c>
      <x:c r="K63" s="85" t="str">
        <x:v>Loading, empty, not configured, degraded, error, retry and conflict are distinct.</x:v>
      </x:c>
      <x:c r="L63" s="85" t="str">
        <x:v>Desktop + tablet + mobile</x:v>
      </x:c>
      <x:c r="M63" s="85" t="str">
        <x:v>E2E-MENU-058</x:v>
      </x:c>
      <x:c r="N63" s="85" t="str">
        <x:v>MAN-MENU-058</x:v>
      </x:c>
      <x:c r="O63" s="85" t="str">
        <x:v>Historical authenticated surface passed; full workflow Not Run</x:v>
      </x:c>
      <x:c r="P63" s="85" t="str">
        <x:v>backend/.qa-runs/authenticated-smoke-playwright-20260918T104017949Z-9975f254.log</x:v>
      </x:c>
    </x:row>
    <x:row r="64">
      <x:c r="A64" s="85" t="str">
        <x:v>MENU-059</x:v>
      </x:c>
      <x:c r="B64" s="85" t="str">
        <x:v>Setup</x:v>
      </x:c>
      <x:c r="C64" s="85" t="str">
        <x:v>Designations</x:v>
      </x:c>
      <x:c r="D64" s="85" t="str">
        <x:v>/administration/designations</x:v>
      </x:c>
      <x:c r="E64" s="85" t="str">
        <x:v>organization.structure.read</x:v>
      </x:c>
      <x:c r="F64" s="85" t="str">
        <x:v>None</x:v>
      </x:c>
      <x:c r="G64" s="85" t="str">
        <x:v>Authenticated scoped persona; Company/Branch context selected when required.</x:v>
      </x:c>
      <x:c r="H64" s="85" t="str">
        <x:v>Open Designations; verify list/detail or workspace actions permitted by role.</x:v>
      </x:c>
      <x:c r="I64" s="85" t="str">
        <x:v>Required fields, foreign IDs, stale version, double submit and validation messages.</x:v>
      </x:c>
      <x:c r="J64" s="85" t="str">
        <x:v>Denied is explicit; no data leak; disabled/not configured is not Pass.</x:v>
      </x:c>
      <x:c r="K64" s="85" t="str">
        <x:v>Loading, empty, not configured, degraded, error, retry and conflict are distinct.</x:v>
      </x:c>
      <x:c r="L64" s="85" t="str">
        <x:v>Desktop + tablet + mobile</x:v>
      </x:c>
      <x:c r="M64" s="85" t="str">
        <x:v>E2E-MENU-059</x:v>
      </x:c>
      <x:c r="N64" s="85" t="str">
        <x:v>MAN-MENU-059</x:v>
      </x:c>
      <x:c r="O64" s="85" t="str">
        <x:v>Historical authenticated surface passed; full workflow Not Run</x:v>
      </x:c>
      <x:c r="P64" s="85" t="str">
        <x:v>backend/.qa-runs/authenticated-smoke-playwright-20260918T104017949Z-9975f254.log</x:v>
      </x:c>
    </x:row>
    <x:row r="65">
      <x:c r="A65" s="85" t="str">
        <x:v>MENU-060</x:v>
      </x:c>
      <x:c r="B65" s="85" t="str">
        <x:v>Setup</x:v>
      </x:c>
      <x:c r="C65" s="85" t="str">
        <x:v>File operations</x:v>
      </x:c>
      <x:c r="D65" s="85" t="str">
        <x:v>/administration/operations/files</x:v>
      </x:c>
      <x:c r="E65" s="85" t="str">
        <x:v>files.operations.read</x:v>
      </x:c>
      <x:c r="F65" s="85" t="str">
        <x:v>fileOperationsNav</x:v>
      </x:c>
      <x:c r="G65" s="85" t="str">
        <x:v>Authenticated scoped persona; Company/Branch context selected when required.</x:v>
      </x:c>
      <x:c r="H65" s="85" t="str">
        <x:v>Open File operations; verify list/detail or workspace actions permitted by role.</x:v>
      </x:c>
      <x:c r="I65" s="85" t="str">
        <x:v>Required fields, foreign IDs, stale version, double submit and validation messages.</x:v>
      </x:c>
      <x:c r="J65" s="85" t="str">
        <x:v>Denied is explicit; no data leak; disabled/not configured is not Pass.</x:v>
      </x:c>
      <x:c r="K65" s="85" t="str">
        <x:v>Loading, empty, not configured, degraded, error, retry and conflict are distinct.</x:v>
      </x:c>
      <x:c r="L65" s="85" t="str">
        <x:v>Desktop + tablet + mobile</x:v>
      </x:c>
      <x:c r="M65" s="85" t="str">
        <x:v>E2E-MENU-060</x:v>
      </x:c>
      <x:c r="N65" s="85" t="str">
        <x:v>MAN-MENU-060</x:v>
      </x:c>
      <x:c r="O65" s="85" t="str">
        <x:v>Historical authenticated surface passed; full workflow Not Run</x:v>
      </x:c>
      <x:c r="P65" s="85" t="str">
        <x:v>backend/.qa-runs/authenticated-smoke-playwright-20260918T104017949Z-9975f254.log</x:v>
      </x:c>
    </x:row>
    <x:row r="66">
      <x:c r="A66" s="85" t="str">
        <x:v>MENU-061</x:v>
      </x:c>
      <x:c r="B66" s="85" t="str">
        <x:v>Setup</x:v>
      </x:c>
      <x:c r="C66" s="85" t="str">
        <x:v>Roles &amp; permissions</x:v>
      </x:c>
      <x:c r="D66" s="85" t="str">
        <x:v>/administration/security</x:v>
      </x:c>
      <x:c r="E66" s="85" t="str">
        <x:v>security.roles.read</x:v>
      </x:c>
      <x:c r="F66" s="85" t="str">
        <x:v>None</x:v>
      </x:c>
      <x:c r="G66" s="85" t="str">
        <x:v>Authenticated scoped persona; Company/Branch context selected when required.</x:v>
      </x:c>
      <x:c r="H66" s="85" t="str">
        <x:v>Open Roles &amp; permissions; verify list/detail or workspace actions permitted by role.</x:v>
      </x:c>
      <x:c r="I66" s="85" t="str">
        <x:v>Required fields, foreign IDs, stale version, double submit and validation messages.</x:v>
      </x:c>
      <x:c r="J66" s="85" t="str">
        <x:v>Denied is explicit; no data leak; disabled/not configured is not Pass.</x:v>
      </x:c>
      <x:c r="K66" s="85" t="str">
        <x:v>Loading, empty, not configured, degraded, error, retry and conflict are distinct.</x:v>
      </x:c>
      <x:c r="L66" s="85" t="str">
        <x:v>Desktop + tablet + mobile</x:v>
      </x:c>
      <x:c r="M66" s="85" t="str">
        <x:v>E2E-MENU-061</x:v>
      </x:c>
      <x:c r="N66" s="85" t="str">
        <x:v>MAN-MENU-061</x:v>
      </x:c>
      <x:c r="O66" s="85" t="str">
        <x:v>Historical authenticated surface passed; full workflow Not Run</x:v>
      </x:c>
      <x:c r="P66" s="85" t="str">
        <x:v>backend/.qa-runs/authenticated-smoke-playwright-20260918T104017949Z-9975f254.log</x:v>
      </x:c>
    </x:row>
    <x:row r="67">
      <x:c r="A67" s="85" t="str">
        <x:v>MENU-062</x:v>
      </x:c>
      <x:c r="B67" s="85" t="str">
        <x:v>Setup</x:v>
      </x:c>
      <x:c r="C67" s="85" t="str">
        <x:v>Shifts</x:v>
      </x:c>
      <x:c r="D67" s="85" t="str">
        <x:v>/administration/shifts</x:v>
      </x:c>
      <x:c r="E67" s="85" t="str">
        <x:v>hr.schedule.read</x:v>
      </x:c>
      <x:c r="F67" s="85" t="str">
        <x:v>None</x:v>
      </x:c>
      <x:c r="G67" s="85" t="str">
        <x:v>Authenticated scoped persona; Company/Branch context selected when required.</x:v>
      </x:c>
      <x:c r="H67" s="85" t="str">
        <x:v>Open Shifts; verify list/detail or workspace actions permitted by role.</x:v>
      </x:c>
      <x:c r="I67" s="85" t="str">
        <x:v>Required fields, foreign IDs, stale version, double submit and validation messages.</x:v>
      </x:c>
      <x:c r="J67" s="85" t="str">
        <x:v>Denied is explicit; no data leak; disabled/not configured is not Pass.</x:v>
      </x:c>
      <x:c r="K67" s="85" t="str">
        <x:v>Loading, empty, not configured, degraded, error, retry and conflict are distinct.</x:v>
      </x:c>
      <x:c r="L67" s="85" t="str">
        <x:v>Desktop + tablet + mobile</x:v>
      </x:c>
      <x:c r="M67" s="85" t="str">
        <x:v>E2E-MENU-062</x:v>
      </x:c>
      <x:c r="N67" s="85" t="str">
        <x:v>MAN-MENU-062</x:v>
      </x:c>
      <x:c r="O67" s="85" t="str">
        <x:v>Historical authenticated surface passed; full workflow Not Run</x:v>
      </x:c>
      <x:c r="P67" s="85" t="str">
        <x:v>backend/.qa-runs/authenticated-smoke-playwright-20260918T104017949Z-9975f254.log</x:v>
      </x:c>
    </x:row>
    <x:row r="68">
      <x:c r="A68" s="85" t="str">
        <x:v>MENU-063</x:v>
      </x:c>
      <x:c r="B68" s="85" t="str">
        <x:v>Setup</x:v>
      </x:c>
      <x:c r="C68" s="85" t="str">
        <x:v>Leave policies</x:v>
      </x:c>
      <x:c r="D68" s="85" t="str">
        <x:v>/hr/leave/policies</x:v>
      </x:c>
      <x:c r="E68" s="85" t="str">
        <x:v>hr.leave.read</x:v>
      </x:c>
      <x:c r="F68" s="85" t="str">
        <x:v>None</x:v>
      </x:c>
      <x:c r="G68" s="85" t="str">
        <x:v>Authenticated scoped persona; Company/Branch context selected when required.</x:v>
      </x:c>
      <x:c r="H68" s="85" t="str">
        <x:v>Open Leave policies; verify list/detail or workspace actions permitted by role.</x:v>
      </x:c>
      <x:c r="I68" s="85" t="str">
        <x:v>Required fields, foreign IDs, stale version, double submit and validation messages.</x:v>
      </x:c>
      <x:c r="J68" s="85" t="str">
        <x:v>Denied is explicit; no data leak; disabled/not configured is not Pass.</x:v>
      </x:c>
      <x:c r="K68" s="85" t="str">
        <x:v>Loading, empty, not configured, degraded, error, retry and conflict are distinct.</x:v>
      </x:c>
      <x:c r="L68" s="85" t="str">
        <x:v>Desktop + tablet + mobile</x:v>
      </x:c>
      <x:c r="M68" s="85" t="str">
        <x:v>E2E-MENU-063</x:v>
      </x:c>
      <x:c r="N68" s="85" t="str">
        <x:v>MAN-MENU-063</x:v>
      </x:c>
      <x:c r="O68" s="85" t="str">
        <x:v>Historical authenticated surface passed; full workflow Not Run</x:v>
      </x:c>
      <x:c r="P68" s="85" t="str">
        <x:v>backend/.qa-runs/authenticated-smoke-playwright-20260918T104017949Z-9975f254.log</x:v>
      </x:c>
    </x:row>
    <x:row r="69">
      <x:c r="A69" s="85" t="str">
        <x:v>MENU-064</x:v>
      </x:c>
      <x:c r="B69" s="85" t="str">
        <x:v>Setup</x:v>
      </x:c>
      <x:c r="C69" s="85" t="str">
        <x:v>Document retention</x:v>
      </x:c>
      <x:c r="D69" s="85" t="str">
        <x:v>/settings/security/document-retention</x:v>
      </x:c>
      <x:c r="E69" s="85" t="str">
        <x:v>files.retention.manage</x:v>
      </x:c>
      <x:c r="F69" s="85" t="str">
        <x:v>None</x:v>
      </x:c>
      <x:c r="G69" s="85" t="str">
        <x:v>Authenticated scoped persona; Company/Branch context selected when required.</x:v>
      </x:c>
      <x:c r="H69" s="85" t="str">
        <x:v>Open Document retention; verify list/detail or workspace actions permitted by role.</x:v>
      </x:c>
      <x:c r="I69" s="85" t="str">
        <x:v>Required fields, foreign IDs, stale version, double submit and validation messages.</x:v>
      </x:c>
      <x:c r="J69" s="85" t="str">
        <x:v>Denied is explicit; no data leak; disabled/not configured is not Pass.</x:v>
      </x:c>
      <x:c r="K69" s="85" t="str">
        <x:v>Loading, empty, not configured, degraded, error, retry and conflict are distinct.</x:v>
      </x:c>
      <x:c r="L69" s="85" t="str">
        <x:v>Desktop + tablet + mobile</x:v>
      </x:c>
      <x:c r="M69" s="85" t="str">
        <x:v>E2E-MENU-064</x:v>
      </x:c>
      <x:c r="N69" s="85" t="str">
        <x:v>MAN-MENU-064</x:v>
      </x:c>
      <x:c r="O69" s="85" t="str">
        <x:v>Historical authenticated surface passed; full workflow Not Run</x:v>
      </x:c>
      <x:c r="P69" s="85" t="str">
        <x:v>backend/.qa-runs/authenticated-smoke-playwright-20260918T104017949Z-9975f254.log</x:v>
      </x:c>
    </x:row>
    <x:row r="70">
      <x:c r="A70" s="85" t="str">
        <x:v>MENU-065</x:v>
      </x:c>
      <x:c r="B70" s="85" t="str">
        <x:v>Operations</x:v>
      </x:c>
      <x:c r="C70" s="85" t="str">
        <x:v>Delivery queue</x:v>
      </x:c>
      <x:c r="D70" s="85" t="str">
        <x:v>/admin/operations/delivery</x:v>
      </x:c>
      <x:c r="E70" s="85" t="str">
        <x:v>platform.delivery.read OR hr.recruitment.delivery.read</x:v>
      </x:c>
      <x:c r="F70" s="85" t="str">
        <x:v>deliveryOperationsNav</x:v>
      </x:c>
      <x:c r="G70" s="85" t="str">
        <x:v>Authenticated scoped persona; Company/Branch context selected when required.</x:v>
      </x:c>
      <x:c r="H70" s="85" t="str">
        <x:v>Open Delivery queue; verify list/detail or workspace actions permitted by role.</x:v>
      </x:c>
      <x:c r="I70" s="85" t="str">
        <x:v>Required fields, foreign IDs, stale version, double submit and validation messages.</x:v>
      </x:c>
      <x:c r="J70" s="85" t="str">
        <x:v>Denied is explicit; no data leak; disabled/not configured is not Pass.</x:v>
      </x:c>
      <x:c r="K70" s="85" t="str">
        <x:v>Loading, empty, not configured, degraded, error, retry and conflict are distinct.</x:v>
      </x:c>
      <x:c r="L70" s="85" t="str">
        <x:v>Desktop + tablet + mobile</x:v>
      </x:c>
      <x:c r="M70" s="85" t="str">
        <x:v>E2E-MENU-065</x:v>
      </x:c>
      <x:c r="N70" s="85" t="str">
        <x:v>MAN-MENU-065</x:v>
      </x:c>
      <x:c r="O70" s="85" t="str">
        <x:v>Historical authenticated surface passed; full workflow Not Run</x:v>
      </x:c>
      <x:c r="P70" s="85" t="str">
        <x:v>backend/.qa-runs/authenticated-smoke-playwright-20260918T104017949Z-9975f254.log</x:v>
      </x:c>
    </x:row>
    <x:row r="71">
      <x:c r="A71" s="85" t="str">
        <x:v>MENU-066</x:v>
      </x:c>
      <x:c r="B71" s="85" t="str">
        <x:v>Operations</x:v>
      </x:c>
      <x:c r="C71" s="85" t="str">
        <x:v>Dead letters</x:v>
      </x:c>
      <x:c r="D71" s="85" t="str">
        <x:v>/admin/operations/delivery/dead-letters</x:v>
      </x:c>
      <x:c r="E71" s="85" t="str">
        <x:v>platform.delivery.read OR hr.recruitment.delivery.read</x:v>
      </x:c>
      <x:c r="F71" s="85" t="str">
        <x:v>deliveryOperationsNav</x:v>
      </x:c>
      <x:c r="G71" s="85" t="str">
        <x:v>Authenticated scoped persona; Company/Branch context selected when required.</x:v>
      </x:c>
      <x:c r="H71" s="85" t="str">
        <x:v>Open Dead letters; verify list/detail or workspace actions permitted by role.</x:v>
      </x:c>
      <x:c r="I71" s="85" t="str">
        <x:v>Required fields, foreign IDs, stale version, double submit and validation messages.</x:v>
      </x:c>
      <x:c r="J71" s="85" t="str">
        <x:v>Denied is explicit; no data leak; disabled/not configured is not Pass.</x:v>
      </x:c>
      <x:c r="K71" s="85" t="str">
        <x:v>Loading, empty, not configured, degraded, error, retry and conflict are distinct.</x:v>
      </x:c>
      <x:c r="L71" s="85" t="str">
        <x:v>Desktop + tablet + mobile</x:v>
      </x:c>
      <x:c r="M71" s="85" t="str">
        <x:v>E2E-MENU-066</x:v>
      </x:c>
      <x:c r="N71" s="85" t="str">
        <x:v>MAN-MENU-066</x:v>
      </x:c>
      <x:c r="O71" s="85" t="str">
        <x:v>Historical authenticated surface passed; full workflow Not Run</x:v>
      </x:c>
      <x:c r="P71" s="85" t="str">
        <x:v>backend/.qa-runs/authenticated-smoke-playwright-20260918T104017949Z-9975f254.log</x:v>
      </x:c>
    </x:row>
    <x:row r="72">
      <x:c r="A72" s="85" t="str">
        <x:v>MENU-067</x:v>
      </x:c>
      <x:c r="B72" s="85" t="str">
        <x:v>Operations</x:v>
      </x:c>
      <x:c r="C72" s="85" t="str">
        <x:v>Recipient exceptions</x:v>
      </x:c>
      <x:c r="D72" s="85" t="str">
        <x:v>/admin/operations/delivery/recipient-exceptions</x:v>
      </x:c>
      <x:c r="E72" s="85" t="str">
        <x:v>platform.delivery.read OR hr.recruitment.delivery.read</x:v>
      </x:c>
      <x:c r="F72" s="85" t="str">
        <x:v>deliveryOperationsNav</x:v>
      </x:c>
      <x:c r="G72" s="85" t="str">
        <x:v>Authenticated scoped persona; Company/Branch context selected when required.</x:v>
      </x:c>
      <x:c r="H72" s="85" t="str">
        <x:v>Open Recipient exceptions; verify list/detail or workspace actions permitted by role.</x:v>
      </x:c>
      <x:c r="I72" s="85" t="str">
        <x:v>Required fields, foreign IDs, stale version, double submit and validation messages.</x:v>
      </x:c>
      <x:c r="J72" s="85" t="str">
        <x:v>Denied is explicit; no data leak; disabled/not configured is not Pass.</x:v>
      </x:c>
      <x:c r="K72" s="85" t="str">
        <x:v>Loading, empty, not configured, degraded, error, retry and conflict are distinct.</x:v>
      </x:c>
      <x:c r="L72" s="85" t="str">
        <x:v>Desktop + tablet + mobile</x:v>
      </x:c>
      <x:c r="M72" s="85" t="str">
        <x:v>E2E-MENU-067</x:v>
      </x:c>
      <x:c r="N72" s="85" t="str">
        <x:v>MAN-MENU-067</x:v>
      </x:c>
      <x:c r="O72" s="85" t="str">
        <x:v>Historical authenticated surface passed; full workflow Not Run</x:v>
      </x:c>
      <x:c r="P72" s="85" t="str">
        <x:v>backend/.qa-runs/authenticated-smoke-playwright-20260918T104017949Z-9975f254.log</x:v>
      </x:c>
    </x:row>
    <x:row r="73">
      <x:c r="A73" s="85" t="str">
        <x:v>MENU-068</x:v>
      </x:c>
      <x:c r="B73" s="85" t="str">
        <x:v>Operations</x:v>
      </x:c>
      <x:c r="C73" s="85" t="str">
        <x:v>Suppressions</x:v>
      </x:c>
      <x:c r="D73" s="85" t="str">
        <x:v>/admin/operations/delivery/suppressions</x:v>
      </x:c>
      <x:c r="E73" s="85" t="str">
        <x:v>platform.delivery.read OR hr.recruitment.delivery.read</x:v>
      </x:c>
      <x:c r="F73" s="85" t="str">
        <x:v>deliveryOperationsNav</x:v>
      </x:c>
      <x:c r="G73" s="85" t="str">
        <x:v>Authenticated scoped persona; Company/Branch context selected when required.</x:v>
      </x:c>
      <x:c r="H73" s="85" t="str">
        <x:v>Open Suppressions; verify list/detail or workspace actions permitted by role.</x:v>
      </x:c>
      <x:c r="I73" s="85" t="str">
        <x:v>Required fields, foreign IDs, stale version, double submit and validation messages.</x:v>
      </x:c>
      <x:c r="J73" s="85" t="str">
        <x:v>Denied is explicit; no data leak; disabled/not configured is not Pass.</x:v>
      </x:c>
      <x:c r="K73" s="85" t="str">
        <x:v>Loading, empty, not configured, degraded, error, retry and conflict are distinct.</x:v>
      </x:c>
      <x:c r="L73" s="85" t="str">
        <x:v>Desktop + tablet + mobile</x:v>
      </x:c>
      <x:c r="M73" s="85" t="str">
        <x:v>E2E-MENU-068</x:v>
      </x:c>
      <x:c r="N73" s="85" t="str">
        <x:v>MAN-MENU-068</x:v>
      </x:c>
      <x:c r="O73" s="85" t="str">
        <x:v>Historical authenticated surface passed; full workflow Not Run</x:v>
      </x:c>
      <x:c r="P73" s="85" t="str">
        <x:v>backend/.qa-runs/authenticated-smoke-playwright-20260918T104017949Z-9975f254.log</x:v>
      </x:c>
    </x:row>
    <x:row r="74">
      <x:c r="A74" s="86" t="str">
        <x:v>MENU-069</x:v>
      </x:c>
      <x:c r="B74" s="86" t="str">
        <x:v>Security</x:v>
      </x:c>
      <x:c r="C74" s="86" t="str">
        <x:v>Users</x:v>
      </x:c>
      <x:c r="D74" s="86" t="str">
        <x:v>/administration/users</x:v>
      </x:c>
      <x:c r="E74" s="86" t="str">
        <x:v>security.users.read</x:v>
      </x:c>
      <x:c r="F74" s="86" t="str">
        <x:v>None</x:v>
      </x:c>
      <x:c r="G74" s="86" t="str">
        <x:v>Authenticated scoped persona; Company/Branch context selected when required.</x:v>
      </x:c>
      <x:c r="H74" s="86" t="str">
        <x:v>Open Users; verify list/detail or workspace actions permitted by role.</x:v>
      </x:c>
      <x:c r="I74" s="86" t="str">
        <x:v>Required fields, foreign IDs, stale version, double submit and validation messages.</x:v>
      </x:c>
      <x:c r="J74" s="86" t="str">
        <x:v>Denied is explicit; no data leak; disabled/not configured is not Pass.</x:v>
      </x:c>
      <x:c r="K74" s="86" t="str">
        <x:v>Loading, empty, not configured, degraded, error, retry and conflict are distinct.</x:v>
      </x:c>
      <x:c r="L74" s="86" t="str">
        <x:v>Desktop + tablet + mobile</x:v>
      </x:c>
      <x:c r="M74" s="86" t="str">
        <x:v>E2E-MENU-069</x:v>
      </x:c>
      <x:c r="N74" s="86" t="str">
        <x:v>MAN-MENU-069</x:v>
      </x:c>
      <x:c r="O74" s="86" t="str">
        <x:v>Historical authenticated surface passed; full workflow Not Run</x:v>
      </x:c>
      <x:c r="P74" s="86" t="str">
        <x:v>backend/.qa-runs/authenticated-smoke-playwright-20260918T104017949Z-9975f254.log</x:v>
      </x:c>
    </x:row>
  </x:sheetData>
  <x:pageMargins left="0.7" right="0.7" top="0.75" bottom="0.75" header="0.3" footer="0.3"/>
  <x:tableParts count="1">
    <x:tablePart xmlns:r="http://schemas.openxmlformats.org/officeDocument/2006/relationships" r:id="R8fc2394510644089"/>
  </x:tableParts>
</x:worksheet>
</file>

<file path=xl/worksheets/sheet16.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2" hidden="0" customWidth="1"/>
    <x:col min="2" max="2" width="20" hidden="0" customWidth="1"/>
    <x:col min="3" max="3" width="46" hidden="0" customWidth="1"/>
    <x:col min="4" max="4" width="18" hidden="0" customWidth="1"/>
    <x:col min="5" max="5" width="16" hidden="0" customWidth="1"/>
    <x:col min="6" max="6" width="16" hidden="0" customWidth="1"/>
    <x:col min="7" max="7" width="28" hidden="0" customWidth="1"/>
    <x:col min="8" max="8" width="48" hidden="0" customWidth="1"/>
  </x:cols>
  <x:sheetData>
    <x:row r="1" ht="24" customHeight="1">
      <x:c r="A1" s="64" t="str">
        <x:v>Existing Automated Coverage</x:v>
      </x:c>
      <x:c r="B1" s="63"/>
      <x:c r="C1" s="63"/>
      <x:c r="D1" s="63"/>
      <x:c r="E1" s="63"/>
      <x:c r="F1" s="63"/>
      <x:c r="G1" s="63"/>
      <x:c r="H1" s="63"/>
    </x:row>
    <x:row r="2" ht="18" customHeight="1">
      <x:c r="A2" s="65" t="str">
        <x:v>Current deterministic coverage and execution state</x:v>
      </x:c>
    </x:row>
    <x:row r="3" ht="18" customHeight="1">
      <x:c r="A3" s="66" t="str">
        <x:v>Pass counts are recorded only when the command completed successfully.</x:v>
      </x:c>
    </x:row>
    <x:row r="5" ht="32" customHeight="1">
      <x:c r="A5" s="78" t="str">
        <x:v>ID</x:v>
      </x:c>
      <x:c r="B5" s="79" t="str">
        <x:v>Layer</x:v>
      </x:c>
      <x:c r="C5" s="79" t="str">
        <x:v>Scope</x:v>
      </x:c>
      <x:c r="D5" s="79" t="str">
        <x:v>Runner</x:v>
      </x:c>
      <x:c r="E5" s="79" t="str">
        <x:v>Count</x:v>
      </x:c>
      <x:c r="F5" s="79" t="str">
        <x:v>Status</x:v>
      </x:c>
      <x:c r="G5" s="79" t="str">
        <x:v>Evidence</x:v>
      </x:c>
      <x:c r="H5" s="80" t="str">
        <x:v>Notes</x:v>
      </x:c>
    </x:row>
    <x:row r="6">
      <x:c r="A6" s="84" t="str">
        <x:v>AUTO-001</x:v>
      </x:c>
      <x:c r="B6" s="84" t="str">
        <x:v>Backend unit</x:v>
      </x:c>
      <x:c r="C6" s="84" t="str">
        <x:v>Employee manual source and cross-branch reporting manager</x:v>
      </x:c>
      <x:c r="D6" s="84" t="str">
        <x:v>Jest</x:v>
      </x:c>
      <x:c r="E6" s="84" t="str">
        <x:v>2</x:v>
      </x:c>
      <x:c r="F6" s="84" t="str">
        <x:v>Passed</x:v>
      </x:c>
      <x:c r="G6" s="84" t="str">
        <x:v>Local 2026-09-17</x:v>
      </x:c>
      <x:c r="H6" s="84" t="str">
        <x:v>Cross-company lookup remains scoped.</x:v>
      </x:c>
    </x:row>
    <x:row r="7">
      <x:c r="A7" s="85" t="str">
        <x:v>AUTO-002</x:v>
      </x:c>
      <x:c r="B7" s="85" t="str">
        <x:v>Backend unit</x:v>
      </x:c>
      <x:c r="C7" s="85" t="str">
        <x:v>Typed Company Setting contract</x:v>
      </x:c>
      <x:c r="D7" s="85" t="str">
        <x:v>Jest</x:v>
      </x:c>
      <x:c r="E7" s="85" t="str">
        <x:v>3</x:v>
      </x:c>
      <x:c r="F7" s="85" t="str">
        <x:v>Passed</x:v>
      </x:c>
      <x:c r="G7" s="85" t="str">
        <x:v>Local 2026-09-17</x:v>
      </x:c>
      <x:c r="H7" s="85" t="str">
        <x:v>Normalizes weekday; rejects invalid/unknown keys.</x:v>
      </x:c>
    </x:row>
    <x:row r="8">
      <x:c r="A8" s="85" t="str">
        <x:v>AUTO-003</x:v>
      </x:c>
      <x:c r="B8" s="85" t="str">
        <x:v>Frontend unit</x:v>
      </x:c>
      <x:c r="C8" s="85" t="str">
        <x:v>Navigation contract and capability states</x:v>
      </x:c>
      <x:c r="D8" s="85" t="str">
        <x:v>Vitest</x:v>
      </x:c>
      <x:c r="E8" s="85" t="str">
        <x:v>8 current contract tests</x:v>
      </x:c>
      <x:c r="F8" s="85" t="str">
        <x:v>Passed</x:v>
      </x:c>
      <x:c r="G8" s="85" t="str">
        <x:v>frontend/config/navigation.test.ts; local 2026-09-22</x:v>
      </x:c>
      <x:c r="H8" s="85" t="str">
        <x:v>69 unique URLs, 12 areas, two levels, zero planned routes and state handling.</x:v>
      </x:c>
    </x:row>
    <x:row r="9">
      <x:c r="A9" s="85" t="str">
        <x:v>AUTO-004</x:v>
      </x:c>
      <x:c r="B9" s="85" t="str">
        <x:v>Frontend static</x:v>
      </x:c>
      <x:c r="C9" s="85" t="str">
        <x:v>Full frontend lint</x:v>
      </x:c>
      <x:c r="D9" s="85" t="str">
        <x:v>ESLint</x:v>
      </x:c>
      <x:c r="E9" s="85" t="str">
        <x:v>4 errors; 10 warnings</x:v>
      </x:c>
      <x:c r="F9" s="85" t="str">
        <x:v>Failed current retest</x:v>
      </x:c>
      <x:c r="G9" s="85" t="str">
        <x:v>Local 2026-09-22</x:v>
      </x:c>
      <x:c r="H9" s="85" t="str">
        <x:v>Failures are outside the Company Modules &amp; Features change; all changed frontend files passed targeted lint. Release lint gate remains open.</x:v>
      </x:c>
    </x:row>
    <x:row r="10">
      <x:c r="A10" s="85" t="str">
        <x:v>AUTO-005</x:v>
      </x:c>
      <x:c r="B10" s="85" t="str">
        <x:v>Frontend static</x:v>
      </x:c>
      <x:c r="C10" s="85" t="str">
        <x:v>Merged TypeScript application check</x:v>
      </x:c>
      <x:c r="D10" s="85" t="str">
        <x:v>tsc</x:v>
      </x:c>
      <x:c r="E10" s="85" t="str">
        <x:v>Application</x:v>
      </x:c>
      <x:c r="F10" s="85" t="str">
        <x:v>Passed</x:v>
      </x:c>
      <x:c r="G10" s="85" t="str">
        <x:v>Local 2026-09-22</x:v>
      </x:c>
      <x:c r="H10" s="85" t="str">
        <x:v>Frontend typecheck passed under Node 24.20.0; the production build is recorded separately in AUTO-013.</x:v>
      </x:c>
    </x:row>
    <x:row r="11">
      <x:c r="A11" s="85" t="str">
        <x:v>AUTO-006</x:v>
      </x:c>
      <x:c r="B11" s="85" t="str">
        <x:v>Backend safety</x:v>
      </x:c>
      <x:c r="C11" s="85" t="str">
        <x:v>Staging guard, migration lineage and reference/persona contract</x:v>
      </x:c>
      <x:c r="D11" s="85" t="str">
        <x:v>Jest</x:v>
      </x:c>
      <x:c r="E11" s="85" t="str">
        <x:v>70 across 3 suites</x:v>
      </x:c>
      <x:c r="F11" s="85" t="str">
        <x:v>Passed</x:v>
      </x:c>
      <x:c r="G11" s="85" t="str">
        <x:v>Local/agent 2026-09-17</x:v>
      </x:c>
      <x:c r="H11" s="85" t="str">
        <x:v>Includes dsp_pms refusal, sentinel/token, persona least privilege, exact contract counts and migration name/checksum validation.</x:v>
      </x:c>
    </x:row>
    <x:row r="12">
      <x:c r="A12" s="85" t="str">
        <x:v>AUTO-007</x:v>
      </x:c>
      <x:c r="B12" s="85" t="str">
        <x:v>Backend security</x:v>
      </x:c>
      <x:c r="C12" s="85" t="str">
        <x:v>Onboarding authorization/idempotency/concurrency</x:v>
      </x:c>
      <x:c r="D12" s="85" t="str">
        <x:v>Jest</x:v>
      </x:c>
      <x:c r="E12" s="85" t="str">
        <x:v>14 across 4 suites</x:v>
      </x:c>
      <x:c r="F12" s="85" t="str">
        <x:v>Passed</x:v>
      </x:c>
      <x:c r="G12" s="85" t="str">
        <x:v>Agent local 2026-09-17</x:v>
      </x:c>
      <x:c r="H12" s="85" t="str">
        <x:v>Manager scope, atomic receipts, replay and compare-and-set transitions.</x:v>
      </x:c>
    </x:row>
    <x:row r="13">
      <x:c r="A13" s="85" t="str">
        <x:v>AUTO-008</x:v>
      </x:c>
      <x:c r="B13" s="85" t="str">
        <x:v>Backend regression</x:v>
      </x:c>
      <x:c r="C13" s="85" t="str">
        <x:v>Full backend suite with guarded QA PostgreSQL access</x:v>
      </x:c>
      <x:c r="D13" s="85" t="str">
        <x:v>Jest</x:v>
      </x:c>
      <x:c r="E13" s="85" t="str">
        <x:v>210 passed + 3 skipped suites; 1,220 passed + 17 skipped tests (1,237 total)</x:v>
      </x:c>
      <x:c r="F13" s="85" t="str">
        <x:v>Passed with skips</x:v>
      </x:c>
      <x:c r="G13" s="85" t="str">
        <x:v>Local 2026-09-22</x:v>
      </x:c>
      <x:c r="H13" s="85" t="str">
        <x:v>Zero failures. Skipped suites/tests remain explicit and do not count as live golden-thread evidence.</x:v>
      </x:c>
    </x:row>
    <x:row r="14">
      <x:c r="A14" s="85" t="str">
        <x:v>AUTO-009</x:v>
      </x:c>
      <x:c r="B14" s="85" t="str">
        <x:v>Frontend regression</x:v>
      </x:c>
      <x:c r="C14" s="85" t="str">
        <x:v>Full frontend suite</x:v>
      </x:c>
      <x:c r="D14" s="85" t="str">
        <x:v>Vitest</x:v>
      </x:c>
      <x:c r="E14" s="85" t="str">
        <x:v>69/70 files; 181/182 tests</x:v>
      </x:c>
      <x:c r="F14" s="85" t="str">
        <x:v>Failed current retest</x:v>
      </x:c>
      <x:c r="G14" s="85" t="str">
        <x:v>Local 2026-09-22</x:v>
      </x:c>
      <x:c r="H14" s="85" t="str">
        <x:v>One pre-existing HR-request workspace assertion finds two intentional New request actions. The 16 focused Company/navigation tests pass.</x:v>
      </x:c>
    </x:row>
    <x:row r="15">
      <x:c r="A15" s="85" t="str">
        <x:v>AUTO-010</x:v>
      </x:c>
      <x:c r="B15" s="85" t="str">
        <x:v>Database integration</x:v>
      </x:c>
      <x:c r="C15" s="85" t="str">
        <x:v>Real PostgreSQL auth/concurrency</x:v>
      </x:c>
      <x:c r="D15" s="85" t="str">
        <x:v>Jest/tsx</x:v>
      </x:c>
      <x:c r="E15" s="85" t="str">
        <x:v>Critical modules</x:v>
      </x:c>
      <x:c r="F15" s="85" t="str">
        <x:v>Not Run</x:v>
      </x:c>
      <x:c r="G15" s="85" t="str"/>
      <x:c r="H15" s="85" t="str">
        <x:v>Safe staging and login-capable personas exist, but live-mutation golden threads remain incomplete. Provider-backed file/email/scanner tests and business-owner manual sign-off are separate NO-GO gates.</x:v>
      </x:c>
    </x:row>
    <x:row r="16">
      <x:c r="A16" s="85" t="str">
        <x:v>AUTO-011</x:v>
      </x:c>
      <x:c r="B16" s="85" t="str">
        <x:v>Browser</x:v>
      </x:c>
      <x:c r="C16" s="85" t="str">
        <x:v>Authenticated Playwright desktop/tablet/mobile smoke</x:v>
      </x:c>
      <x:c r="D16" s="85" t="str">
        <x:v>Playwright</x:v>
      </x:c>
      <x:c r="E16" s="85" t="str">
        <x:v>59 passed; 0 failed; 3 skipped (62 total)</x:v>
      </x:c>
      <x:c r="F16" s="85" t="str">
        <x:v>Incomplete</x:v>
      </x:c>
      <x:c r="G16" s="85" t="str">
        <x:v>backend/.qa-runs/authenticated-smoke-playwright-20260918T104017949Z-9975f254.log</x:v>
      </x:c>
      <x:c r="H16" s="85" t="str">
        <x:v>The 2026-09-18 authenticated surface smoke completed with 69 canonical routes discovered, 68 audited, 0 unavailable, one planned/disabled route excluded, and 73 unique internal links audited. Three live Finance/Payroll mutation cases were deliberately skipped because they require an exact transaction manifest and cleanup. This historical run predates the Approval workflows route and does not complete any golden thread. Current navigation contains 69 routes; 1 added route requires a fresh authenticated audit.</x:v>
      </x:c>
    </x:row>
    <x:row r="17">
      <x:c r="A17" s="85" t="str">
        <x:v>AUTO-012</x:v>
      </x:c>
      <x:c r="B17" s="85" t="str">
        <x:v>AI exploration</x:v>
      </x:c>
      <x:c r="C17" s="85" t="str">
        <x:v>Targeted onboarding and schema-safety bypass exploration</x:v>
      </x:c>
      <x:c r="D17" s="85" t="str">
        <x:v>AI + deterministic reproduction</x:v>
      </x:c>
      <x:c r="E17" s="85" t="str">
        <x:v>2 P1 findings</x:v>
      </x:c>
      <x:c r="F17" s="85" t="str">
        <x:v>Fixed and retested</x:v>
      </x:c>
      <x:c r="G17" s="85" t="str">
        <x:v>Local/agent 2026-09-17</x:v>
      </x:c>
      <x:c r="H17" s="85" t="str">
        <x:v>Both findings received deterministic tests; full module-wise exploration remains Not Run.</x:v>
      </x:c>
    </x:row>
    <x:row r="18">
      <x:c r="A18" s="85" t="str">
        <x:v>AUTO-013</x:v>
      </x:c>
      <x:c r="B18" s="85" t="str">
        <x:v>Frontend build</x:v>
      </x:c>
      <x:c r="C18" s="85" t="str">
        <x:v>Production Next.js build</x:v>
      </x:c>
      <x:c r="D18" s="85" t="str">
        <x:v>Next.js/Turbopack</x:v>
      </x:c>
      <x:c r="E18" s="85" t="str">
        <x:v>99 pages</x:v>
      </x:c>
      <x:c r="F18" s="85" t="str">
        <x:v>Passed</x:v>
      </x:c>
      <x:c r="G18" s="85" t="str">
        <x:v>Local 2026-09-22</x:v>
      </x:c>
      <x:c r="H18" s="85" t="str">
        <x:v>Compilation, TypeScript and static generation completed successfully under Node 24.20.0, including the Company Modules &amp; Features route.</x:v>
      </x:c>
    </x:row>
    <x:row r="19">
      <x:c r="A19" s="85" t="str">
        <x:v>AUTO-014</x:v>
      </x:c>
      <x:c r="B19" s="85" t="str">
        <x:v>Package hygiene</x:v>
      </x:c>
      <x:c r="C19" s="85" t="str">
        <x:v>Public package-script review and cleanup</x:v>
      </x:c>
      <x:c r="D19" s="85" t="str">
        <x:v>Manifest/source/runbook audit</x:v>
      </x:c>
      <x:c r="E19" s="85" t="str">
        <x:v>Backend 49 scripts; frontend 10 scripts</x:v>
      </x:c>
      <x:c r="F19" s="85" t="str">
        <x:v>Passed</x:v>
      </x:c>
      <x:c r="G19" s="85" t="str">
        <x:v>Post-merge local 2026-09-18</x:v>
      </x:c>
      <x:c r="H19" s="85" t="str">
        <x:v>All retained write-capable backfill commands enforce the exact staging target, confirmation token and sentinel before mutation; active runbooks use current names.</x:v>
      </x:c>
    </x:row>
    <x:row r="20">
      <x:c r="A20" s="85" t="str">
        <x:v>AUTO-015</x:v>
      </x:c>
      <x:c r="B20" s="85" t="str">
        <x:v>Browser discovery</x:v>
      </x:c>
      <x:c r="C20" s="85" t="str">
        <x:v>Playwright inventory and execution</x:v>
      </x:c>
      <x:c r="D20" s="85" t="str">
        <x:v>Playwright</x:v>
      </x:c>
      <x:c r="E20" s="85" t="str">
        <x:v>62 historical cases across 5 specs</x:v>
      </x:c>
      <x:c r="F20" s="85" t="str">
        <x:v>Current rerun required</x:v>
      </x:c>
      <x:c r="G20" s="85" t="str">
        <x:v>backend/.qa-runs/authenticated-smoke-playwright-20260918T104017949Z-9975f254.log</x:v>
      </x:c>
      <x:c r="H20" s="85" t="str">
        <x:v>Desktop Chromium, 1024×768 touch tablet and mobile Chrome are configured. The historical route/control audit found 69 canonical routes. The current inventory has 69; Approval workflows is pending.</x:v>
      </x:c>
    </x:row>
    <x:row r="21">
      <x:c r="A21" s="85" t="str">
        <x:v>AUTO-016</x:v>
      </x:c>
      <x:c r="B21" s="85" t="str">
        <x:v>Backend gates</x:v>
      </x:c>
      <x:c r="C21" s="85" t="str">
        <x:v>Prisma validation, production build and production TypeScript</x:v>
      </x:c>
      <x:c r="D21" s="85" t="str">
        <x:v>Prisma/Nest/tsc</x:v>
      </x:c>
      <x:c r="E21" s="85" t="str">
        <x:v>3 commands</x:v>
      </x:c>
      <x:c r="F21" s="85" t="str">
        <x:v>Passed</x:v>
      </x:c>
      <x:c r="G21" s="85" t="str">
        <x:v>Local 2026-09-22</x:v>
      </x:c>
      <x:c r="H21" s="85" t="str">
        <x:v>Prisma schema validation, Nest production build and application typecheck passed under Node 24.20.0.</x:v>
      </x:c>
    </x:row>
    <x:row r="22">
      <x:c r="A22" s="85" t="str">
        <x:v>AUTO-017</x:v>
      </x:c>
      <x:c r="B22" s="85" t="str">
        <x:v>Backend static</x:v>
      </x:c>
      <x:c r="C22" s="85" t="str">
        <x:v>Production and test-source TypeScript</x:v>
      </x:c>
      <x:c r="D22" s="85" t="str">
        <x:v>tsc</x:v>
      </x:c>
      <x:c r="E22" s="85" t="str">
        <x:v>Application passed; tests failed with 3 errors</x:v>
      </x:c>
      <x:c r="F22" s="85" t="str">
        <x:v>Partially passed</x:v>
      </x:c>
      <x:c r="G22" s="85" t="str">
        <x:v>Local 2026-09-22</x:v>
      </x:c>
      <x:c r="H22" s="85" t="str">
        <x:v>tsconfig.build.json passed. tsconfig.test.json retains three TS2698 spread errors in hr-request.service.spec.ts lines 168, 174 and 180.</x:v>
      </x:c>
    </x:row>
    <x:row r="23">
      <x:c r="A23" s="85" t="str">
        <x:v>AUTO-018</x:v>
      </x:c>
      <x:c r="B23" s="85" t="str">
        <x:v>Backend QA tooling</x:v>
      </x:c>
      <x:c r="C23" s="85" t="str">
        <x:v>Migration audit, staging structure capture and current-schema comparison</x:v>
      </x:c>
      <x:c r="D23" s="85" t="str">
        <x:v>tsx/pg_dump</x:v>
      </x:c>
      <x:c r="E23" s="85" t="str">
        <x:v>5 commands</x:v>
      </x:c>
      <x:c r="F23" s="85" t="str">
        <x:v>Passed</x:v>
      </x:c>
      <x:c r="G23" s="85" t="str">
        <x:v>backend/.qa-runs/staging-audit-1790070324845.json; backend/.qa-runs/current-structure-verification-1790070352149.json; backend/.qa-runs/staging-baseline/structure-staging-final-2026-09-18T10-20-02-545Z.json</x:v>
      </x:c>
      <x:c r="H23" s="85" t="str">
        <x:v>161 migrations scanned; staging lineage is 161/161 clean with 111 exact, 48 LF-equivalent and two CRLF-equivalent checksums; staging catalog fingerprint 91fd7193fdb19f05b5752e1b145e0ba7695e4b35b3eceb1c18b1dbdd49f42722; current structure is unchanged.</x:v>
      </x:c>
    </x:row>
    <x:row r="24">
      <x:c r="A24" s="85" t="str">
        <x:v>AUTO-019</x:v>
      </x:c>
      <x:c r="B24" s="85" t="str">
        <x:v>Backend static</x:v>
      </x:c>
      <x:c r="C24" s="85" t="str">
        <x:v>Full backend lint</x:v>
      </x:c>
      <x:c r="D24" s="85" t="str">
        <x:v>ESLint</x:v>
      </x:c>
      <x:c r="E24" s="85" t="str">
        <x:v>331 errors; 4 warnings</x:v>
      </x:c>
      <x:c r="F24" s="85" t="str">
        <x:v>Failed current retest</x:v>
      </x:c>
      <x:c r="G24" s="85" t="str">
        <x:v>Local 2026-09-22</x:v>
      </x:c>
      <x:c r="H24" s="85" t="str">
        <x:v>Broad pre-existing formatting and unsafe-any debt remains outside this change; all changed Company API files passed targeted lint. Release lint gate remains open.</x:v>
      </x:c>
    </x:row>
    <x:row r="25">
      <x:c r="A25" s="85" t="str">
        <x:v>AUTO-020</x:v>
      </x:c>
      <x:c r="B25" s="85" t="str">
        <x:v>Backend unit</x:v>
      </x:c>
      <x:c r="C25" s="85" t="str">
        <x:v>Company Financial Profile offer currency</x:v>
      </x:c>
      <x:c r="D25" s="85" t="str">
        <x:v>Jest</x:v>
      </x:c>
      <x:c r="E25" s="85" t="str">
        <x:v>3</x:v>
      </x:c>
      <x:c r="F25" s="85" t="str">
        <x:v>Passed</x:v>
      </x:c>
      <x:c r="G25" s="85" t="str">
        <x:v>Local 2026-09-17</x:v>
      </x:c>
      <x:c r="H25" s="85" t="str">
        <x:v>No INR fallback; missing profile and cross-currency request fail closed.</x:v>
      </x:c>
    </x:row>
    <x:row r="26">
      <x:c r="A26" s="85" t="str">
        <x:v>AUTO-021</x:v>
      </x:c>
      <x:c r="B26" s="85" t="str">
        <x:v>Backend/frontend unit</x:v>
      </x:c>
      <x:c r="C26" s="85" t="str">
        <x:v>Founding-owner explicit organization selection</x:v>
      </x:c>
      <x:c r="D26" s="85" t="str">
        <x:v>Jest/Vitest</x:v>
      </x:c>
      <x:c r="E26" s="85" t="str">
        <x:v>11 backend + 7 frontend</x:v>
      </x:c>
      <x:c r="F26" s="85" t="str">
        <x:v>Passed</x:v>
      </x:c>
      <x:c r="G26" s="85" t="str">
        <x:v>Local/agent 2026-09-17</x:v>
      </x:c>
      <x:c r="H26" s="85" t="str">
        <x:v>No first-row inference; hierarchy, Branch location and stale/foreign links validated.</x:v>
      </x:c>
    </x:row>
    <x:row r="27">
      <x:c r="A27" s="85" t="str">
        <x:v>AUTO-022</x:v>
      </x:c>
      <x:c r="B27" s="85" t="str">
        <x:v>Backend/frontend unit</x:v>
      </x:c>
      <x:c r="C27" s="85" t="str">
        <x:v>Authentication scope selection</x:v>
      </x:c>
      <x:c r="D27" s="85" t="str">
        <x:v>Jest/Vitest</x:v>
      </x:c>
      <x:c r="E27" s="85" t="str">
        <x:v>27 backend + 2 frontend</x:v>
      </x:c>
      <x:c r="F27" s="85" t="str">
        <x:v>Passed</x:v>
      </x:c>
      <x:c r="G27" s="85" t="str">
        <x:v>Local/agent 2026-09-17</x:v>
      </x:c>
      <x:c r="H27" s="85" t="str">
        <x:v>Single scope/default preserved; ambiguous scope requires user selection before session/invitation consumption.</x:v>
      </x:c>
    </x:row>
    <x:row r="28">
      <x:c r="A28" s="85" t="str">
        <x:v>AUTO-023</x:v>
      </x:c>
      <x:c r="B28" s="85" t="str">
        <x:v>Backend unit</x:v>
      </x:c>
      <x:c r="C28" s="85" t="str">
        <x:v>Reviewed calendar packs and explicit effective year</x:v>
      </x:c>
      <x:c r="D28" s="85" t="str">
        <x:v>Jest</x:v>
      </x:c>
      <x:c r="E28" s="85" t="str">
        <x:v>19 across 3 suites</x:v>
      </x:c>
      <x:c r="F28" s="85" t="str">
        <x:v>Passed</x:v>
      </x:c>
      <x:c r="G28" s="85" t="str">
        <x:v>Local/agent 2026-09-17</x:v>
      </x:c>
      <x:c r="H28" s="85" t="str">
        <x:v>Unsupported geography/year fails closed with controlled-import guidance.</x:v>
      </x:c>
    </x:row>
    <x:row r="29">
      <x:c r="A29" s="85" t="str">
        <x:v>AUTO-024</x:v>
      </x:c>
      <x:c r="B29" s="85" t="str">
        <x:v>Backend/frontend unit</x:v>
      </x:c>
      <x:c r="C29" s="85" t="str">
        <x:v>Company/Branch legal-location, offer currency and payroll country contracts</x:v>
      </x:c>
      <x:c r="D29" s="85" t="str">
        <x:v>Jest/Vitest</x:v>
      </x:c>
      <x:c r="E29" s="85" t="str">
        <x:v>16 focused tests</x:v>
      </x:c>
      <x:c r="F29" s="85" t="str">
        <x:v>Passed</x:v>
      </x:c>
      <x:c r="G29" s="85" t="str">
        <x:v>Local 2026-09-17</x:v>
      </x:c>
      <x:c r="H29" s="85" t="str">
        <x:v>Required country/subdivision/timezone, Company Financial Profile currency and Company-bound tax country.</x:v>
      </x:c>
    </x:row>
    <x:row r="30">
      <x:c r="A30" s="85" t="str">
        <x:v>AUTO-025</x:v>
      </x:c>
      <x:c r="B30" s="85" t="str">
        <x:v>Backend QA contract</x:v>
      </x:c>
      <x:c r="C30" s="85" t="str">
        <x:v>Reference master-data and stable-persona plan</x:v>
      </x:c>
      <x:c r="D30" s="85" t="str">
        <x:v>Jest/tsx</x:v>
      </x:c>
      <x:c r="E30" s="85" t="str">
        <x:v>19 master layers + 23 personas</x:v>
      </x:c>
      <x:c r="F30" s="85" t="str">
        <x:v>Passed</x:v>
      </x:c>
      <x:c r="G30" s="85" t="str">
        <x:v>Local/agent 2026-09-17</x:v>
      </x:c>
      <x:c r="H30" s="85" t="str">
        <x:v>Contract v3: 22 Users, 22 Employees, three custom roles and one Department grant; the guarded live apply also passed.</x:v>
      </x:c>
    </x:row>
    <x:row r="31">
      <x:c r="A31" s="85" t="str">
        <x:v>AUTO-026</x:v>
      </x:c>
      <x:c r="B31" s="85" t="str">
        <x:v>Backend security</x:v>
      </x:c>
      <x:c r="C31" s="85" t="str">
        <x:v>Canonical onboarding cancellation aliases</x:v>
      </x:c>
      <x:c r="D31" s="85" t="str">
        <x:v>Jest</x:v>
      </x:c>
      <x:c r="E31" s="85" t="str">
        <x:v>12 across 2 suites</x:v>
      </x:c>
      <x:c r="F31" s="85" t="str">
        <x:v>Passed</x:v>
      </x:c>
      <x:c r="G31" s="85" t="str">
        <x:v>Local/agent 2026-09-17</x:v>
      </x:c>
      <x:c r="H31" s="85" t="str">
        <x:v>DELETE and POST aliases share DTO, gate, capability, version, audit and receipt semantics.</x:v>
      </x:c>
    </x:row>
    <x:row r="32">
      <x:c r="A32" s="85" t="str">
        <x:v>AUTO-027</x:v>
      </x:c>
      <x:c r="B32" s="85" t="str">
        <x:v>Database seed</x:v>
      </x:c>
      <x:c r="C32" s="85" t="str">
        <x:v>Guarded reference organization and stable-master apply/rerun</x:v>
      </x:c>
      <x:c r="D32" s="85" t="str">
        <x:v>Prisma/tsx</x:v>
      </x:c>
      <x:c r="E32" s="85" t="str">
        <x:v>188 stable records</x:v>
      </x:c>
      <x:c r="F32" s="85" t="str">
        <x:v>Passed</x:v>
      </x:c>
      <x:c r="G32" s="85" t="str">
        <x:v>backend/.qa-runs/reference-seed-1789728103852.json; backend/.qa-runs/reference-seed-1789728130663.json</x:v>
      </x:c>
      <x:c r="H32" s="85" t="str">
        <x:v>Final post-migration rerun created 0, updated 0, unchanged 188; staging fingerprint remained 91fd7193fdb19f05b5752e1b145e0ba7695e4b35b3eceb1c18b1dbdd49f42722.</x:v>
      </x:c>
    </x:row>
    <x:row r="33">
      <x:c r="A33" s="85" t="str">
        <x:v>AUTO-028</x:v>
      </x:c>
      <x:c r="B33" s="85" t="str">
        <x:v>Database safety</x:v>
      </x:c>
      <x:c r="C33" s="85" t="str">
        <x:v>Current schema non-mutation and staging post-migration capture</x:v>
      </x:c>
      <x:c r="D33" s="85" t="str">
        <x:v>pg_dump/tsx</x:v>
      </x:c>
      <x:c r="E33" s="85" t="str">
        <x:v>2 final evidence captures</x:v>
      </x:c>
      <x:c r="F33" s="85" t="str">
        <x:v>Passed</x:v>
      </x:c>
      <x:c r="G33" s="85" t="str">
        <x:v>backend/.qa-runs/current-structure-verification-1790070352149.json; backend/.qa-runs/staging-audit-1790070324845.json; backend/.qa-runs/staging-baseline/structure-staging-final-2026-09-18T10-20-02-545Z.json</x:v>
      </x:c>
      <x:c r="H33" s="85" t="str">
        <x:v>CURRENT_SCHEMA_UNCHANGED; dsp_pms SHA-256 d26cbfed33058fcf51dba67a498ef4899ed9b060d2b4b9aecce10304d9112e71. Staging audit is 161/161 clean with catalog fingerprint 91fd7193fdb19f05b5752e1b145e0ba7695e4b35b3eceb1c18b1dbdd49f42722; the clearance grant changed data only, so the prior final structure dump remains applicable.</x:v>
      </x:c>
    </x:row>
    <x:row r="34">
      <x:c r="A34" s="85" t="str">
        <x:v>AUTO-029</x:v>
      </x:c>
      <x:c r="B34" s="85" t="str">
        <x:v>Database seed</x:v>
      </x:c>
      <x:c r="C34" s="85" t="str">
        <x:v>Guarded stable-persona apply and immediate rerun</x:v>
      </x:c>
      <x:c r="D34" s="85" t="str">
        <x:v>Prisma/tsx</x:v>
      </x:c>
      <x:c r="E34" s="85" t="str">
        <x:v>126 persona artifacts</x:v>
      </x:c>
      <x:c r="F34" s="85" t="str">
        <x:v>Passed</x:v>
      </x:c>
      <x:c r="G34" s="85" t="str">
        <x:v>backend/.qa-runs/reference-seed-1789728103852.json; backend/.qa-runs/reference-seed-1789728130663.json</x:v>
      </x:c>
      <x:c r="H34" s="85" t="str">
        <x:v>Post-migration apply synchronized 21 User records. Immediate same-credential rerun created 0, updated 0, unchanged 126; zeroDataDriftOnRerun=true.</x:v>
      </x:c>
    </x:row>
    <x:row r="35">
      <x:c r="A35" s="85" t="str">
        <x:v>AUTO-030</x:v>
      </x:c>
      <x:c r="B35" s="85" t="str">
        <x:v>Auth/E2E safety</x:v>
      </x:c>
      <x:c r="C35" s="85" t="str">
        <x:v>Credential rotation, exact session cleanup and same-origin refresh-cookie flow</x:v>
      </x:c>
      <x:c r="D35" s="85" t="str">
        <x:v>tsx/Jest/Playwright helper</x:v>
      </x:c>
      <x:c r="E35" s="85" t="str">
        <x:v>Guarded scripts + cookie regression</x:v>
      </x:c>
      <x:c r="F35" s="85" t="str">
        <x:v>Implemented and verified</x:v>
      </x:c>
      <x:c r="G35" s="85" t="str">
        <x:v>backend/scripts/qa/cleanup-reference-auth-sessions.ts; backend/test/foundation/auth.controller-cookie.spec.ts; frontend/e2e/helpers/auth.ts</x:v>
      </x:c>
      <x:c r="H35" s="85" t="str">
        <x:v>Rotation is explicit and refuses active sessions. Cleanup targets exact contracted QA users/session IDs. Browser auth uses /api/auth and excludes secrets from evidence.</x:v>
      </x:c>
    </x:row>
    <x:row r="36">
      <x:c r="A36" s="85" t="str">
        <x:v>AUTO-031</x:v>
      </x:c>
      <x:c r="B36" s="85" t="str">
        <x:v>Browser controls</x:v>
      </x:c>
      <x:c r="C36" s="85" t="str">
        <x:v>Canonical page, control and internal-link audit</x:v>
      </x:c>
      <x:c r="D36" s="85" t="str">
        <x:v>Playwright + manual computer-use smoke</x:v>
      </x:c>
      <x:c r="E36" s="85" t="str">
        <x:v>Current 69 canonical; historical 69 canonical / 68 audited / 1 planned / 73 links</x:v>
      </x:c>
      <x:c r="F36" s="85" t="str">
        <x:v>Historical pass; current rerun required</x:v>
      </x:c>
      <x:c r="G36" s="85" t="str">
        <x:v>backend/.qa-runs/authenticated-smoke-playwright-20260918T104017949Z-9975f254.log</x:v>
      </x:c>
      <x:c r="H36" s="85" t="str">
        <x:v>The historical run authenticated every then-available canonical page. Approval workflows was added later and remains pending. Visible enabled controls require accessible names; safe tabs, disclosures, menus and selectors are exercised without submitting data.</x:v>
      </x:c>
    </x:row>
    <x:row r="37">
      <x:c r="A37" s="86" t="str">
        <x:v>AUTO-032</x:v>
      </x:c>
      <x:c r="B37" s="86" t="str">
        <x:v>Backend/frontend/browser</x:v>
      </x:c>
      <x:c r="C37" s="86" t="str">
        <x:v>Company Modules &amp; Features administration</x:v>
      </x:c>
      <x:c r="D37" s="86" t="str">
        <x:v>Jest/Vitest + manual computer-use smoke</x:v>
      </x:c>
      <x:c r="E37" s="86" t="str">
        <x:v>3 backend + 16 frontend focused tests; 3 authenticated personas</x:v>
      </x:c>
      <x:c r="F37" s="86" t="str">
        <x:v>Passed</x:v>
      </x:c>
      <x:c r="G37" s="86" t="str">
        <x:v>Local 2026-09-22</x:v>
      </x:c>
      <x:c r="H37" s="86" t="str">
        <x:v>Covers complete entitlement projection, dependency rejection, atomic audited update, API boundary, dependency-safe toggles, read-only controls, Company route generation, removal of planned navigation routes, and Owner manage / HR read-only / Employee denied browser states. No browser-test change was saved.</x:v>
      </x:c>
    </x:row>
  </x:sheetData>
  <x:pageMargins left="0.7" right="0.7" top="0.75" bottom="0.75" header="0.3" footer="0.3"/>
  <x:tableParts count="1">
    <x:tablePart xmlns:r="http://schemas.openxmlformats.org/officeDocument/2006/relationships" r:id="Rdeb91424f21f4b6b"/>
  </x:tableParts>
</x:worksheet>
</file>

<file path=xl/worksheets/sheet17.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2" hidden="0" customWidth="1"/>
    <x:col min="2" max="2" width="28" hidden="0" customWidth="1"/>
    <x:col min="3" max="3" width="52" hidden="0" customWidth="1"/>
    <x:col min="4" max="4" width="52" hidden="0" customWidth="1"/>
    <x:col min="5" max="5" width="22" hidden="0" customWidth="1"/>
    <x:col min="6" max="6" width="12" hidden="0" customWidth="1"/>
    <x:col min="7" max="7" width="34" hidden="0" customWidth="1"/>
    <x:col min="8" max="8" width="14" hidden="0" customWidth="1"/>
    <x:col min="9" max="9" width="18" hidden="0" customWidth="1"/>
    <x:col min="10" max="10" width="34" hidden="0" customWidth="1"/>
  </x:cols>
  <x:sheetData>
    <x:row r="1" ht="24" customHeight="1">
      <x:c r="A1" s="64" t="str">
        <x:v>E2E and Manual Cases</x:v>
      </x:c>
      <x:c r="B1" s="63"/>
      <x:c r="C1" s="63"/>
      <x:c r="D1" s="63"/>
      <x:c r="E1" s="63"/>
      <x:c r="F1" s="63"/>
      <x:c r="G1" s="63"/>
      <x:c r="H1" s="63"/>
      <x:c r="I1" s="63"/>
      <x:c r="J1" s="63"/>
    </x:row>
    <x:row r="2" ht="18" customHeight="1">
      <x:c r="A2" s="65" t="str">
        <x:v>Golden threads, negative controls and business sign-off</x:v>
      </x:c>
    </x:row>
    <x:row r="3" ht="18" customHeight="1">
      <x:c r="A3" s="66" t="str">
        <x:v>Skipped authentication, disabled modules and Sign in pages never count as Pass. Release remains NO-GO pending live-mutation golden threads, canonical Business Calendar publication, multi-Branch switching proof, provider-backed file/email/scanner tests and business-owner manual sign-off.</x:v>
      </x:c>
    </x:row>
    <x:row r="5" ht="32" customHeight="1">
      <x:c r="A5" s="78" t="str">
        <x:v>Case ID</x:v>
      </x:c>
      <x:c r="B5" s="79" t="str">
        <x:v>Persona</x:v>
      </x:c>
      <x:c r="C5" s="79" t="str">
        <x:v>Journey / scenario</x:v>
      </x:c>
      <x:c r="D5" s="79" t="str">
        <x:v>Expected result</x:v>
      </x:c>
      <x:c r="E5" s="79" t="str">
        <x:v>Viewport / layer</x:v>
      </x:c>
      <x:c r="F5" s="79" t="str">
        <x:v>Priority</x:v>
      </x:c>
      <x:c r="G5" s="79" t="str">
        <x:v>Run identifier</x:v>
      </x:c>
      <x:c r="H5" s="79" t="str">
        <x:v>Status</x:v>
      </x:c>
      <x:c r="I5" s="79" t="str">
        <x:v>Tester</x:v>
      </x:c>
      <x:c r="J5" s="80" t="str">
        <x:v>Evidence</x:v>
      </x:c>
    </x:row>
    <x:row r="6">
      <x:c r="A6" s="84" t="str">
        <x:v>SMOKE-01</x:v>
      </x:c>
      <x:c r="B6" s="84" t="str">
        <x:v>Scoped reference personas</x:v>
      </x:c>
      <x:c r="C6" s="84" t="str">
        <x:v>Authenticated route and workspace smoke across five Playwright specs</x:v>
      </x:c>
      <x:c r="D6" s="84" t="str">
        <x:v>Sign in, disabled and not-configured pages never count as Pass. The 2026-09-18 authenticated surface smoke completed with 69 canonical routes discovered, 68 audited, 0 unavailable, one planned/disabled route excluded, and 73 unique internal links audited. Three live Finance/Payroll mutation cases were deliberately skipped because they require an exact transaction manifest and cleanup. This historical run predates the Approval workflows route and does not complete any golden thread.</x:v>
      </x:c>
      <x:c r="E6" s="84" t="str">
        <x:v>Desktop + tablet + mobile</x:v>
      </x:c>
      <x:c r="F6" s="84" t="str">
        <x:v>Critical</x:v>
      </x:c>
      <x:c r="G6" s="84" t="str">
        <x:v>QA-auth-smoke-20260918T104017949Z-9975f254</x:v>
      </x:c>
      <x:c r="H6" s="84" t="str">
        <x:v>Incomplete</x:v>
      </x:c>
      <x:c r="I6" s="84" t="str">
        <x:v>Automated</x:v>
      </x:c>
      <x:c r="J6" s="84" t="str">
        <x:v>backend/.qa-runs/authenticated-smoke-playwright-20260918T104017949Z-9975f254.log</x:v>
      </x:c>
    </x:row>
    <x:row r="7">
      <x:c r="A7" s="85" t="str">
        <x:v>GT-01</x:v>
      </x:c>
      <x:c r="B7" s="85" t="str">
        <x:v>Founding owner</x:v>
      </x:c>
      <x:c r="C7" s="85" t="str">
        <x:v>Registration → OTP → organization setup → invitations</x:v>
      </x:c>
      <x:c r="D7" s="85" t="str">
        <x:v>Owner explicitly selects Company/Branch/Department/Designation; invitee accepts.</x:v>
      </x:c>
      <x:c r="E7" s="85" t="str">
        <x:v>Desktop + mobile</x:v>
      </x:c>
      <x:c r="F7" s="85" t="str">
        <x:v>Critical</x:v>
      </x:c>
      <x:c r="G7" s="85" t="str">
        <x:v>QA-&lt;suite&gt;-&lt;UTC timestamp&gt;-&lt;nonce&gt;</x:v>
      </x:c>
      <x:c r="H7" s="85" t="str">
        <x:v>Not Run</x:v>
      </x:c>
      <x:c r="I7" s="85" t="str"/>
      <x:c r="J7" s="85" t="str"/>
    </x:row>
    <x:row r="8">
      <x:c r="A8" s="85" t="str">
        <x:v>GT-02</x:v>
      </x:c>
      <x:c r="B8" s="85" t="str">
        <x:v>Security admin</x:v>
      </x:c>
      <x:c r="C8" s="85" t="str">
        <x:v>Users → roles → scopes → session revocation</x:v>
      </x:c>
      <x:c r="D8" s="85" t="str">
        <x:v>Least privilege; disabled user and revoked session denied.</x:v>
      </x:c>
      <x:c r="E8" s="85" t="str">
        <x:v>Desktop</x:v>
      </x:c>
      <x:c r="F8" s="85" t="str">
        <x:v>Critical</x:v>
      </x:c>
      <x:c r="G8" s="85" t="str">
        <x:v>QA-&lt;suite&gt;-&lt;UTC timestamp&gt;-&lt;nonce&gt;</x:v>
      </x:c>
      <x:c r="H8" s="85" t="str">
        <x:v>Not Run</x:v>
      </x:c>
      <x:c r="I8" s="85" t="str"/>
      <x:c r="J8" s="85" t="str"/>
    </x:row>
    <x:row r="9">
      <x:c r="A9" s="85" t="str">
        <x:v>GT-03</x:v>
      </x:c>
      <x:c r="B9" s="85" t="str">
        <x:v>Recruiter/manager/HR</x:v>
      </x:c>
      <x:c r="C9" s="85" t="str">
        <x:v>Opening → application → screening → interview → decision → offer → Employee</x:v>
      </x:c>
      <x:c r="D9" s="85" t="str">
        <x:v>Clean signed offer/doc mappings; new Employee/User created once.</x:v>
      </x:c>
      <x:c r="E9" s="85" t="str">
        <x:v>Desktop + mobile</x:v>
      </x:c>
      <x:c r="F9" s="85" t="str">
        <x:v>Critical</x:v>
      </x:c>
      <x:c r="G9" s="85" t="str">
        <x:v>QA-&lt;suite&gt;-&lt;UTC timestamp&gt;-&lt;nonce&gt;</x:v>
      </x:c>
      <x:c r="H9" s="85" t="str">
        <x:v>Not Run</x:v>
      </x:c>
      <x:c r="I9" s="85" t="str"/>
      <x:c r="J9" s="85" t="str"/>
    </x:row>
    <x:row r="10">
      <x:c r="A10" s="85" t="str">
        <x:v>GT-04</x:v>
      </x:c>
      <x:c r="B10" s="85" t="str">
        <x:v>HR/manager/employee/IT/finance</x:v>
      </x:c>
      <x:c r="C10" s="85" t="str">
        <x:v>Onboarding → asset allocation → active employee</x:v>
      </x:c>
      <x:c r="D10" s="85" t="str">
        <x:v>Published template handoffs complete; licence capacity enforced.</x:v>
      </x:c>
      <x:c r="E10" s="85" t="str">
        <x:v>Desktop + tablet</x:v>
      </x:c>
      <x:c r="F10" s="85" t="str">
        <x:v>Critical</x:v>
      </x:c>
      <x:c r="G10" s="85" t="str">
        <x:v>QA-&lt;suite&gt;-&lt;UTC timestamp&gt;-&lt;nonce&gt;</x:v>
      </x:c>
      <x:c r="H10" s="85" t="str">
        <x:v>Not Run</x:v>
      </x:c>
      <x:c r="I10" s="85" t="str"/>
      <x:c r="J10" s="85" t="str"/>
    </x:row>
    <x:row r="11">
      <x:c r="A11" s="85" t="str">
        <x:v>GT-05</x:v>
      </x:c>
      <x:c r="B11" s="85" t="str">
        <x:v>Workforce admin/employee</x:v>
      </x:c>
      <x:c r="C11" s="85" t="str">
        <x:v>Calendar → roster → attendance → regularization → period close</x:v>
      </x:c>
      <x:c r="D11" s="85" t="str">
        <x:v>Branch timezone/workweek used; closed period immutable.</x:v>
      </x:c>
      <x:c r="E11" s="85" t="str">
        <x:v>Desktop + mobile</x:v>
      </x:c>
      <x:c r="F11" s="85" t="str">
        <x:v>Critical</x:v>
      </x:c>
      <x:c r="G11" s="85" t="str">
        <x:v>QA-&lt;suite&gt;-&lt;UTC timestamp&gt;-&lt;nonce&gt;</x:v>
      </x:c>
      <x:c r="H11" s="85" t="str">
        <x:v>Not Run</x:v>
      </x:c>
      <x:c r="I11" s="85" t="str"/>
      <x:c r="J11" s="85" t="str"/>
    </x:row>
    <x:row r="12">
      <x:c r="A12" s="85" t="str">
        <x:v>GT-06</x:v>
      </x:c>
      <x:c r="B12" s="85" t="str">
        <x:v>Employee/manager/HR</x:v>
      </x:c>
      <x:c r="C12" s="85" t="str">
        <x:v>Leave + overtime + comp-off approvals</x:v>
      </x:c>
      <x:c r="D12" s="85" t="str">
        <x:v>Manager then HR; balances and credits auditable.</x:v>
      </x:c>
      <x:c r="E12" s="85" t="str">
        <x:v>Desktop + mobile</x:v>
      </x:c>
      <x:c r="F12" s="85" t="str">
        <x:v>Critical</x:v>
      </x:c>
      <x:c r="G12" s="85" t="str">
        <x:v>QA-&lt;suite&gt;-&lt;UTC timestamp&gt;-&lt;nonce&gt;</x:v>
      </x:c>
      <x:c r="H12" s="85" t="str">
        <x:v>Not Run</x:v>
      </x:c>
      <x:c r="I12" s="85" t="str"/>
      <x:c r="J12" s="85" t="str"/>
    </x:row>
    <x:row r="13">
      <x:c r="A13" s="85" t="str">
        <x:v>GT-07</x:v>
      </x:c>
      <x:c r="B13" s="85" t="str">
        <x:v>Project manager/employee</x:v>
      </x:c>
      <x:c r="C13" s="85" t="str">
        <x:v>Client/internal Project → stage → task → worklog → timesheet approval</x:v>
      </x:c>
      <x:c r="D13" s="85" t="str">
        <x:v>Company-scoped Business Party; configured week start.</x:v>
      </x:c>
      <x:c r="E13" s="85" t="str">
        <x:v>Desktop + tablet</x:v>
      </x:c>
      <x:c r="F13" s="85" t="str">
        <x:v>Critical</x:v>
      </x:c>
      <x:c r="G13" s="85" t="str">
        <x:v>QA-&lt;suite&gt;-&lt;UTC timestamp&gt;-&lt;nonce&gt;</x:v>
      </x:c>
      <x:c r="H13" s="85" t="str">
        <x:v>Not Run</x:v>
      </x:c>
      <x:c r="I13" s="85" t="str"/>
      <x:c r="J13" s="85" t="str"/>
    </x:row>
    <x:row r="14">
      <x:c r="A14" s="85" t="str">
        <x:v>GT-08</x:v>
      </x:c>
      <x:c r="B14" s="85" t="str">
        <x:v>Finance maker/checker</x:v>
      </x:c>
      <x:c r="C14" s="85" t="str">
        <x:v>Transaction → submit → independent approval → posting → reversal/report</x:v>
      </x:c>
      <x:c r="D14" s="85" t="str">
        <x:v>Self-approval denied; attachment retained.</x:v>
      </x:c>
      <x:c r="E14" s="85" t="str">
        <x:v>Desktop</x:v>
      </x:c>
      <x:c r="F14" s="85" t="str">
        <x:v>Critical</x:v>
      </x:c>
      <x:c r="G14" s="85" t="str">
        <x:v>QA-&lt;suite&gt;-&lt;UTC timestamp&gt;-&lt;nonce&gt;</x:v>
      </x:c>
      <x:c r="H14" s="85" t="str">
        <x:v>Not Run</x:v>
      </x:c>
      <x:c r="I14" s="85" t="str"/>
      <x:c r="J14" s="85" t="str"/>
    </x:row>
    <x:row r="15">
      <x:c r="A15" s="85" t="str">
        <x:v>GT-09</x:v>
      </x:c>
      <x:c r="B15" s="85" t="str">
        <x:v>Payroll maker/checker</x:v>
      </x:c>
      <x:c r="C15" s="85" t="str">
        <x:v>Payroll → calculate → approve → pay → finance expense → payslip</x:v>
      </x:c>
      <x:c r="D15" s="85" t="str">
        <x:v>Effective salary/tax required; maker differs from approver.</x:v>
      </x:c>
      <x:c r="E15" s="85" t="str">
        <x:v>Desktop + mobile payslip</x:v>
      </x:c>
      <x:c r="F15" s="85" t="str">
        <x:v>Critical</x:v>
      </x:c>
      <x:c r="G15" s="85" t="str">
        <x:v>QA-&lt;suite&gt;-&lt;UTC timestamp&gt;-&lt;nonce&gt;</x:v>
      </x:c>
      <x:c r="H15" s="85" t="str">
        <x:v>Not Run</x:v>
      </x:c>
      <x:c r="I15" s="85" t="str"/>
      <x:c r="J15" s="85" t="str"/>
    </x:row>
    <x:row r="16">
      <x:c r="A16" s="85" t="str">
        <x:v>GT-10</x:v>
      </x:c>
      <x:c r="B16" s="85" t="str">
        <x:v>Operations</x:v>
      </x:c>
      <x:c r="C16" s="85" t="str">
        <x:v>Delivery/file failure → retry/reconcile/recover</x:v>
      </x:c>
      <x:c r="D16" s="85" t="str">
        <x:v>Suppression/dead-letter states explicit and audited.</x:v>
      </x:c>
      <x:c r="E16" s="85" t="str">
        <x:v>Desktop</x:v>
      </x:c>
      <x:c r="F16" s="85" t="str">
        <x:v>Critical</x:v>
      </x:c>
      <x:c r="G16" s="85" t="str">
        <x:v>QA-&lt;suite&gt;-&lt;UTC timestamp&gt;-&lt;nonce&gt;</x:v>
      </x:c>
      <x:c r="H16" s="85" t="str">
        <x:v>Not Run</x:v>
      </x:c>
      <x:c r="I16" s="85" t="str"/>
      <x:c r="J16" s="85" t="str"/>
    </x:row>
    <x:row r="17">
      <x:c r="A17" s="85" t="str">
        <x:v>GT-11</x:v>
      </x:c>
      <x:c r="B17" s="85" t="str">
        <x:v>Group owner</x:v>
      </x:c>
      <x:c r="C17" s="85" t="str">
        <x:v>India/UAE switching and country configuration</x:v>
      </x:c>
      <x:c r="D17" s="85" t="str">
        <x:v>INR/AED, Kolkata/Dubai, Apr–Mar/Jan–Dec remain isolated.</x:v>
      </x:c>
      <x:c r="E17" s="85" t="str">
        <x:v>Desktop + tablet</x:v>
      </x:c>
      <x:c r="F17" s="85" t="str">
        <x:v>Critical</x:v>
      </x:c>
      <x:c r="G17" s="85" t="str">
        <x:v>QA-&lt;suite&gt;-&lt;UTC timestamp&gt;-&lt;nonce&gt;</x:v>
      </x:c>
      <x:c r="H17" s="85" t="str">
        <x:v>Not Run</x:v>
      </x:c>
      <x:c r="I17" s="85" t="str"/>
      <x:c r="J17" s="85" t="str"/>
    </x:row>
    <x:row r="18">
      <x:c r="A18" s="85" t="str">
        <x:v>GT-12</x:v>
      </x:c>
      <x:c r="B18" s="85" t="str">
        <x:v>Primary/isolation actors</x:v>
      </x:c>
      <x:c r="C18" s="85" t="str">
        <x:v>Cross-tenant direct-ID denial</x:v>
      </x:c>
      <x:c r="D18" s="85" t="str">
        <x:v>404/denial with no existence leak across every critical API.</x:v>
      </x:c>
      <x:c r="E18" s="85" t="str">
        <x:v>API + desktop</x:v>
      </x:c>
      <x:c r="F18" s="85" t="str">
        <x:v>Critical</x:v>
      </x:c>
      <x:c r="G18" s="85" t="str">
        <x:v>QA-&lt;suite&gt;-&lt;UTC timestamp&gt;-&lt;nonce&gt;</x:v>
      </x:c>
      <x:c r="H18" s="85" t="str">
        <x:v>Not Run</x:v>
      </x:c>
      <x:c r="I18" s="85" t="str"/>
      <x:c r="J18" s="85" t="str"/>
    </x:row>
    <x:row r="19">
      <x:c r="A19" s="85" t="str">
        <x:v>NEG-01</x:v>
      </x:c>
      <x:c r="B19" s="85" t="str">
        <x:v>Any writer</x:v>
      </x:c>
      <x:c r="C19" s="85" t="str">
        <x:v>Run writer with current_schema() = dsp_pms</x:v>
      </x:c>
      <x:c r="D19" s="85" t="str">
        <x:v>Process refuses before mutation.</x:v>
      </x:c>
      <x:c r="E19" s="85" t="str">
        <x:v>CLI</x:v>
      </x:c>
      <x:c r="F19" s="85" t="str">
        <x:v>Critical</x:v>
      </x:c>
      <x:c r="G19" s="85" t="str">
        <x:v>QA-&lt;suite&gt;-&lt;UTC timestamp&gt;-&lt;nonce&gt;</x:v>
      </x:c>
      <x:c r="H19" s="85" t="str">
        <x:v>Not Run</x:v>
      </x:c>
      <x:c r="I19" s="85" t="str"/>
      <x:c r="J19" s="85" t="str"/>
    </x:row>
    <x:row r="20">
      <x:c r="A20" s="85" t="str">
        <x:v>NEG-02</x:v>
      </x:c>
      <x:c r="B20" s="85" t="str">
        <x:v>Any writer</x:v>
      </x:c>
      <x:c r="C20" s="85" t="str">
        <x:v>Wrong sentinel or confirmation token</x:v>
      </x:c>
      <x:c r="D20" s="85" t="str">
        <x:v>Process refuses before mutation.</x:v>
      </x:c>
      <x:c r="E20" s="85" t="str">
        <x:v>CLI</x:v>
      </x:c>
      <x:c r="F20" s="85" t="str">
        <x:v>Critical</x:v>
      </x:c>
      <x:c r="G20" s="85" t="str">
        <x:v>QA-&lt;suite&gt;-&lt;UTC timestamp&gt;-&lt;nonce&gt;</x:v>
      </x:c>
      <x:c r="H20" s="85" t="str">
        <x:v>Not Run</x:v>
      </x:c>
      <x:c r="I20" s="85" t="str"/>
      <x:c r="J20" s="85" t="str"/>
    </x:row>
    <x:row r="21">
      <x:c r="A21" s="85" t="str">
        <x:v>NEG-03</x:v>
      </x:c>
      <x:c r="B21" s="85" t="str">
        <x:v>Finance/Payroll maker</x:v>
      </x:c>
      <x:c r="C21" s="85" t="str">
        <x:v>Self-approve own transaction/run</x:v>
      </x:c>
      <x:c r="D21" s="85" t="str">
        <x:v>Denied and audited.</x:v>
      </x:c>
      <x:c r="E21" s="85" t="str">
        <x:v>API + desktop</x:v>
      </x:c>
      <x:c r="F21" s="85" t="str">
        <x:v>Critical</x:v>
      </x:c>
      <x:c r="G21" s="85" t="str">
        <x:v>QA-&lt;suite&gt;-&lt;UTC timestamp&gt;-&lt;nonce&gt;</x:v>
      </x:c>
      <x:c r="H21" s="85" t="str">
        <x:v>Not Run</x:v>
      </x:c>
      <x:c r="I21" s="85" t="str"/>
      <x:c r="J21" s="85" t="str"/>
    </x:row>
    <x:row r="22">
      <x:c r="A22" s="85" t="str">
        <x:v>NEG-04</x:v>
      </x:c>
      <x:c r="B22" s="85" t="str">
        <x:v>Employee</x:v>
      </x:c>
      <x:c r="C22" s="85" t="str">
        <x:v>Foreign Company/Branch/Department/manager IDs</x:v>
      </x:c>
      <x:c r="D22" s="85" t="str">
        <x:v>Validation denies without leak.</x:v>
      </x:c>
      <x:c r="E22" s="85" t="str">
        <x:v>API</x:v>
      </x:c>
      <x:c r="F22" s="85" t="str">
        <x:v>High</x:v>
      </x:c>
      <x:c r="G22" s="85" t="str">
        <x:v>QA-&lt;suite&gt;-&lt;UTC timestamp&gt;-&lt;nonce&gt;</x:v>
      </x:c>
      <x:c r="H22" s="85" t="str">
        <x:v>Not Run</x:v>
      </x:c>
      <x:c r="I22" s="85" t="str"/>
      <x:c r="J22" s="85" t="str"/>
    </x:row>
    <x:row r="23">
      <x:c r="A23" s="85" t="str">
        <x:v>NEG-05</x:v>
      </x:c>
      <x:c r="B23" s="85" t="str">
        <x:v>Any actor</x:v>
      </x:c>
      <x:c r="C23" s="85" t="str">
        <x:v>Replay same operation ID</x:v>
      </x:c>
      <x:c r="D23" s="85" t="str">
        <x:v>Same result/no duplicate side effect.</x:v>
      </x:c>
      <x:c r="E23" s="85" t="str">
        <x:v>API</x:v>
      </x:c>
      <x:c r="F23" s="85" t="str">
        <x:v>High</x:v>
      </x:c>
      <x:c r="G23" s="85" t="str">
        <x:v>QA-&lt;suite&gt;-&lt;UTC timestamp&gt;-&lt;nonce&gt;</x:v>
      </x:c>
      <x:c r="H23" s="85" t="str">
        <x:v>Not Run</x:v>
      </x:c>
      <x:c r="I23" s="85" t="str"/>
      <x:c r="J23" s="85" t="str"/>
    </x:row>
    <x:row r="24">
      <x:c r="A24" s="85" t="str">
        <x:v>NEG-06</x:v>
      </x:c>
      <x:c r="B24" s="85" t="str">
        <x:v>Any actor</x:v>
      </x:c>
      <x:c r="C24" s="85" t="str">
        <x:v>Submit stale expected version</x:v>
      </x:c>
      <x:c r="D24" s="85" t="str">
        <x:v>Conflict state; reload/retry offered.</x:v>
      </x:c>
      <x:c r="E24" s="85" t="str">
        <x:v>API + desktop</x:v>
      </x:c>
      <x:c r="F24" s="85" t="str">
        <x:v>High</x:v>
      </x:c>
      <x:c r="G24" s="85" t="str">
        <x:v>QA-&lt;suite&gt;-&lt;UTC timestamp&gt;-&lt;nonce&gt;</x:v>
      </x:c>
      <x:c r="H24" s="85" t="str">
        <x:v>Not Run</x:v>
      </x:c>
      <x:c r="I24" s="85" t="str"/>
      <x:c r="J24" s="85" t="str"/>
    </x:row>
    <x:row r="25">
      <x:c r="A25" s="85" t="str">
        <x:v>NEG-07</x:v>
      </x:c>
      <x:c r="B25" s="85" t="str">
        <x:v>File uploader</x:v>
      </x:c>
      <x:c r="C25" s="85" t="str">
        <x:v>Oversize/MIME mismatch/scanner test</x:v>
      </x:c>
      <x:c r="D25" s="85" t="str">
        <x:v>Reject/quarantine with safe message.</x:v>
      </x:c>
      <x:c r="E25" s="85" t="str">
        <x:v>API + desktop</x:v>
      </x:c>
      <x:c r="F25" s="85" t="str">
        <x:v>High</x:v>
      </x:c>
      <x:c r="G25" s="85" t="str">
        <x:v>QA-&lt;suite&gt;-&lt;UTC timestamp&gt;-&lt;nonce&gt;</x:v>
      </x:c>
      <x:c r="H25" s="85" t="str">
        <x:v>Not Run</x:v>
      </x:c>
      <x:c r="I25" s="85" t="str"/>
      <x:c r="J25" s="85" t="str"/>
    </x:row>
    <x:row r="26">
      <x:c r="A26" s="85" t="str">
        <x:v>NEG-08</x:v>
      </x:c>
      <x:c r="B26" s="85" t="str">
        <x:v>Mobile/tablet user</x:v>
      </x:c>
      <x:c r="C26" s="85" t="str">
        <x:v>Reach every permitted child menu</x:v>
      </x:c>
      <x:c r="D26" s="85" t="str">
        <x:v>No desktop-only dead ends; switcher accessible.</x:v>
      </x:c>
      <x:c r="E26" s="85" t="str">
        <x:v>Tablet + mobile</x:v>
      </x:c>
      <x:c r="F26" s="85" t="str">
        <x:v>High</x:v>
      </x:c>
      <x:c r="G26" s="85" t="str">
        <x:v>QA-&lt;suite&gt;-&lt;UTC timestamp&gt;-&lt;nonce&gt;</x:v>
      </x:c>
      <x:c r="H26" s="85" t="str">
        <x:v>Not Run</x:v>
      </x:c>
      <x:c r="I26" s="85" t="str"/>
      <x:c r="J26" s="85" t="str"/>
    </x:row>
    <x:row r="27">
      <x:c r="A27" s="85" t="str">
        <x:v>MAN-01</x:v>
      </x:c>
      <x:c r="B27" s="85" t="str">
        <x:v>Business owner</x:v>
      </x:c>
      <x:c r="C27" s="85" t="str">
        <x:v>Terminology and task order walkthrough</x:v>
      </x:c>
      <x:c r="D27" s="85" t="str">
        <x:v>No active V1/V2/Lite/Legacy product labels.</x:v>
      </x:c>
      <x:c r="E27" s="85" t="str">
        <x:v>All viewports</x:v>
      </x:c>
      <x:c r="F27" s="85" t="str">
        <x:v>High</x:v>
      </x:c>
      <x:c r="G27" s="85" t="str">
        <x:v>QA-&lt;suite&gt;-&lt;UTC timestamp&gt;-&lt;nonce&gt;</x:v>
      </x:c>
      <x:c r="H27" s="85" t="str">
        <x:v>Not Run</x:v>
      </x:c>
      <x:c r="I27" s="85" t="str"/>
      <x:c r="J27" s="85" t="str"/>
    </x:row>
    <x:row r="28">
      <x:c r="A28" s="85" t="str">
        <x:v>MAN-02</x:v>
      </x:c>
      <x:c r="B28" s="85" t="str">
        <x:v>HR/Finance/Payroll owners</x:v>
      </x:c>
      <x:c r="C28" s="85" t="str">
        <x:v>India golden-thread sign-off</x:v>
      </x:c>
      <x:c r="D28" s="85" t="str">
        <x:v>Business outcome and control evidence accepted.</x:v>
      </x:c>
      <x:c r="E28" s="85" t="str">
        <x:v>Desktop</x:v>
      </x:c>
      <x:c r="F28" s="85" t="str">
        <x:v>Critical</x:v>
      </x:c>
      <x:c r="G28" s="85" t="str">
        <x:v>QA-&lt;suite&gt;-&lt;UTC timestamp&gt;-&lt;nonce&gt;</x:v>
      </x:c>
      <x:c r="H28" s="85" t="str">
        <x:v>Not Run</x:v>
      </x:c>
      <x:c r="I28" s="85" t="str"/>
      <x:c r="J28" s="85" t="str"/>
    </x:row>
    <x:row r="29">
      <x:c r="A29" s="85" t="str">
        <x:v>MAN-03</x:v>
      </x:c>
      <x:c r="B29" s="85" t="str">
        <x:v>UAE owner</x:v>
      </x:c>
      <x:c r="C29" s="85" t="str">
        <x:v>Targeted UAE setup/payroll/project/finance sign-off</x:v>
      </x:c>
      <x:c r="D29" s="85" t="str">
        <x:v>No statutory-compliance claim.</x:v>
      </x:c>
      <x:c r="E29" s="85" t="str">
        <x:v>Desktop</x:v>
      </x:c>
      <x:c r="F29" s="85" t="str">
        <x:v>Critical</x:v>
      </x:c>
      <x:c r="G29" s="85" t="str">
        <x:v>QA-&lt;suite&gt;-&lt;UTC timestamp&gt;-&lt;nonce&gt;</x:v>
      </x:c>
      <x:c r="H29" s="85" t="str">
        <x:v>Not Run</x:v>
      </x:c>
      <x:c r="I29" s="85" t="str"/>
      <x:c r="J29" s="85" t="str"/>
    </x:row>
    <x:row r="30">
      <x:c r="A30" s="86" t="str">
        <x:v>MAN-04</x:v>
      </x:c>
      <x:c r="B30" s="86" t="str">
        <x:v>QA lead</x:v>
      </x:c>
      <x:c r="C30" s="86" t="str">
        <x:v>Empty/denied/not-configured/degraded/error/retry/conflict states</x:v>
      </x:c>
      <x:c r="D30" s="86" t="str">
        <x:v>Each state is visually and semantically distinct.</x:v>
      </x:c>
      <x:c r="E30" s="86" t="str">
        <x:v>All viewports</x:v>
      </x:c>
      <x:c r="F30" s="86" t="str">
        <x:v>High</x:v>
      </x:c>
      <x:c r="G30" s="86" t="str">
        <x:v>QA-&lt;suite&gt;-&lt;UTC timestamp&gt;-&lt;nonce&gt;</x:v>
      </x:c>
      <x:c r="H30" s="86" t="str">
        <x:v>Not Run</x:v>
      </x:c>
      <x:c r="I30" s="86" t="str"/>
      <x:c r="J30" s="86" t="str"/>
    </x:row>
  </x:sheetData>
  <x:pageMargins left="0.7" right="0.7" top="0.75" bottom="0.75" header="0.3" footer="0.3"/>
  <x:tableParts count="1">
    <x:tablePart xmlns:r="http://schemas.openxmlformats.org/officeDocument/2006/relationships" r:id="R38df20f0592643e3"/>
  </x:tableParts>
</x:worksheet>
</file>

<file path=xl/worksheets/sheet18.xml><?xml version="1.0" encoding="utf-8"?>
<x:worksheet xmlns:x="http://schemas.openxmlformats.org/spreadsheetml/2006/main">
  <x:sheetViews>
    <x:sheetView showGridLines="0" workbookViewId="0">
      <x:pane ySplit="5" topLeftCell="A6" activePane="bottomLeft" state="frozen"/>
    </x:sheetView>
  </x:sheetViews>
  <x:sheetFormatPr defaultRowHeight="15"/>
  <x:cols>
    <x:col min="1" max="1" width="12" hidden="0" customWidth="1"/>
    <x:col min="2" max="2" width="28" hidden="0" customWidth="1"/>
    <x:col min="3" max="3" width="44" hidden="0" customWidth="1"/>
    <x:col min="4" max="4" width="38" hidden="0" customWidth="1"/>
    <x:col min="5" max="5" width="18" hidden="0" customWidth="1"/>
    <x:col min="6" max="6" width="34" hidden="0" customWidth="1"/>
    <x:col min="7" max="7" width="50" hidden="0" customWidth="1"/>
  </x:cols>
  <x:sheetData>
    <x:row r="1" ht="24" customHeight="1">
      <x:c r="A1" s="64" t="str">
        <x:v>Migration Evidence</x:v>
      </x:c>
      <x:c r="B1" s="63"/>
      <x:c r="C1" s="63"/>
      <x:c r="D1" s="63"/>
      <x:c r="E1" s="63"/>
      <x:c r="F1" s="63"/>
      <x:c r="G1" s="63"/>
    </x:row>
    <x:row r="2" ht="18" customHeight="1">
      <x:c r="A2" s="65" t="str">
        <x:v>Staging bootstrap, isolation, migration and promotion record</x:v>
      </x:c>
    </x:row>
    <x:row r="3" ht="18" customHeight="1">
      <x:c r="A3" s="66" t="str">
        <x:v>Executed staging evidence through 2026-09-22; the current dsp_pms structure remained unchanged.</x:v>
      </x:c>
    </x:row>
    <x:row r="5" ht="32" customHeight="1">
      <x:c r="A5" s="78" t="str">
        <x:v>ID</x:v>
      </x:c>
      <x:c r="B5" s="79" t="str">
        <x:v>Control</x:v>
      </x:c>
      <x:c r="C5" s="79" t="str">
        <x:v>Target / artifact</x:v>
      </x:c>
      <x:c r="D5" s="79" t="str">
        <x:v>Evidence method</x:v>
      </x:c>
      <x:c r="E5" s="79" t="str">
        <x:v>Status</x:v>
      </x:c>
      <x:c r="F5" s="79" t="str">
        <x:v>Evidence location</x:v>
      </x:c>
      <x:c r="G5" s="80" t="str">
        <x:v>Notes</x:v>
      </x:c>
    </x:row>
    <x:row r="6">
      <x:c r="A6" s="84" t="str">
        <x:v>MIG-001</x:v>
      </x:c>
      <x:c r="B6" s="84" t="str">
        <x:v>Current schema protection</x:v>
      </x:c>
      <x:c r="C6" s="84" t="str">
        <x:v>dsp_pms must never accept QA writers</x:v>
      </x:c>
      <x:c r="D6" s="84" t="str">
        <x:v>Automated guard + sentinel + token</x:v>
      </x:c>
      <x:c r="E6" s="84" t="str">
        <x:v>Passed</x:v>
      </x:c>
      <x:c r="F6" s="84" t="str">
        <x:v>backend/test/foundation/qa-staging-safety.spec.ts</x:v>
      </x:c>
      <x:c r="G6" s="84" t="str">
        <x:v>All writers targeted dsp_pms_stg; current structure remained byte-identical to the pre-operation dump.</x:v>
      </x:c>
    </x:row>
    <x:row r="7">
      <x:c r="A7" s="85" t="str">
        <x:v>MIG-002</x:v>
      </x:c>
      <x:c r="B7" s="85" t="str">
        <x:v>Staging target</x:v>
      </x:c>
      <x:c r="C7" s="85" t="str">
        <x:v>dsp_erp_dev / dscape / dsp_pms_stg</x:v>
      </x:c>
      <x:c r="D7" s="85" t="str">
        <x:v>Exact database/user/schema assertion</x:v>
      </x:c>
      <x:c r="E7" s="85" t="str">
        <x:v>Passed</x:v>
      </x:c>
      <x:c r="F7" s="85" t="str">
        <x:v>backend/.qa-runs/staging-audit-1790070324845.json</x:v>
      </x:c>
      <x:c r="G7" s="85" t="str">
        <x:v>Final live target, permissions and sentinel audit passed read-only.</x:v>
      </x:c>
    </x:row>
    <x:row r="8">
      <x:c r="A8" s="85" t="str">
        <x:v>MIG-003</x:v>
      </x:c>
      <x:c r="B8" s="85" t="str">
        <x:v>Manual employee source</x:v>
      </x:c>
      <x:c r="C8" s="85" t="str">
        <x:v>20260917090000_employee_manual_creation_source</x:v>
      </x:c>
      <x:c r="D8" s="85" t="str">
        <x:v>Schema-neutral enum extension</x:v>
      </x:c>
      <x:c r="E8" s="85" t="str">
        <x:v>Implemented; Prisma validation passed</x:v>
      </x:c>
      <x:c r="F8" s="85" t="str">
        <x:v>backend/prisma/migrations/20260917090000_employee_manual_creation_source/migration.sql</x:v>
      </x:c>
      <x:c r="G8" s="85" t="str">
        <x:v>No explicit schema name.</x:v>
      </x:c>
    </x:row>
    <x:row r="9">
      <x:c r="A9" s="85" t="str">
        <x:v>MIG-004</x:v>
      </x:c>
      <x:c r="B9" s="85" t="str">
        <x:v>Historical migration scan</x:v>
      </x:c>
      <x:c r="C9" s="85" t="str">
        <x:v>161 migrations; six pinned schema-dependent/dynamic-SQL exceptions</x:v>
      </x:c>
      <x:c r="D9" s="85" t="str">
        <x:v>Static audit plus exact applied-name/checksum lineage; separate ephemeral historical-chain validation</x:v>
      </x:c>
      <x:c r="E9" s="85" t="str">
        <x:v>Staging passed; CI chain Not Run</x:v>
      </x:c>
      <x:c r="F9" s="85" t="str">
        <x:v>backend/scripts/qa/lint-schema-neutral-migrations.ts</x:v>
      </x:c>
      <x:c r="G9" s="85" t="str">
        <x:v>161/161 staging ledger is clean; do not replay the six legacy exceptions directly into staging.</x:v>
      </x:c>
    </x:row>
    <x:row r="10">
      <x:c r="A10" s="85" t="str">
        <x:v>MIG-005</x:v>
      </x:c>
      <x:c r="B10" s="85" t="str">
        <x:v>Structure-only bootstrap</x:v>
      </x:c>
      <x:c r="C10" s="85" t="str">
        <x:v>Current structure mirrored into dsp_pms_stg without tenant data</x:v>
      </x:c>
      <x:c r="D10" s="85" t="str">
        <x:v>Reviewed transformed dump, atomic restore and catalog checks</x:v>
      </x:c>
      <x:c r="E10" s="85" t="str">
        <x:v>Passed</x:v>
      </x:c>
      <x:c r="F10" s="85" t="str">
        <x:v>backend/.qa-runs/staging-baseline/structure-staging-final-2026-09-18T10-20-02-545Z.json</x:v>
      </x:c>
      <x:c r="G10" s="85" t="str">
        <x:v>Final target: 185 tables, 2,895 columns, 1,051 indexes; catalog fingerprint 91fd7193fdb19f05b5752e1b145e0ba7695e4b35b3eceb1c18b1dbdd49f42722; final dump SHA-256 7f997328822a67cbae099700e10251a33c45a70db1042d14d420f1610b5f12ef; zero dsp_pms references.</x:v>
      </x:c>
    </x:row>
    <x:row r="11">
      <x:c r="A11" s="85" t="str">
        <x:v>MIG-006</x:v>
      </x:c>
      <x:c r="B11" s="85" t="str">
        <x:v>Reference seed</x:v>
      </x:c>
      <x:c r="C11" s="85" t="str">
        <x:v>Organization foundation plus supported stable masters</x:v>
      </x:c>
      <x:c r="D11" s="85" t="str">
        <x:v>Guarded idempotent seed + manifest</x:v>
      </x:c>
      <x:c r="E11" s="85" t="str">
        <x:v>Passed for 188 records</x:v>
      </x:c>
      <x:c r="F11" s="85" t="str">
        <x:v>backend/.qa-runs/reference-seed-1789728103852.json</x:v>
      </x:c>
      <x:c r="G11" s="85" t="str">
        <x:v>Final post-migration apply left 104 organization and 84 stable-master records unchanged. Personas were applied separately; service-owned workflow data remains intentionally command-owned.</x:v>
      </x:c>
    </x:row>
    <x:row r="12">
      <x:c r="A12" s="85" t="str">
        <x:v>MIG-007</x:v>
      </x:c>
      <x:c r="B12" s="85" t="str">
        <x:v>Seed rerun</x:v>
      </x:c>
      <x:c r="C12" s="85" t="str">
        <x:v>Zero drift</x:v>
      </x:c>
      <x:c r="D12" s="85" t="str">
        <x:v>Counts, keys and content fingerprint</x:v>
      </x:c>
      <x:c r="E12" s="85" t="str">
        <x:v>Passed</x:v>
      </x:c>
      <x:c r="F12" s="85" t="str">
        <x:v>backend/.qa-runs/reference-seed-1789728130663.json</x:v>
      </x:c>
      <x:c r="G12" s="85" t="str">
        <x:v>Created 0, updated 0, unchanged 188; zeroDataDriftOnRerun=true; staging fingerprint remained 91fd7193fdb19f05b5752e1b145e0ba7695e4b35b3eceb1c18b1dbdd49f42722.</x:v>
      </x:c>
    </x:row>
    <x:row r="13">
      <x:c r="A13" s="85" t="str">
        <x:v>MIG-008</x:v>
      </x:c>
      <x:c r="B13" s="85" t="str">
        <x:v>Current fingerprint</x:v>
      </x:c>
      <x:c r="C13" s="85" t="str">
        <x:v>dsp_pms before/after staging operations</x:v>
      </x:c>
      <x:c r="D13" s="85" t="str">
        <x:v>Normalized structure-only pg_dump comparison</x:v>
      </x:c>
      <x:c r="E13" s="85" t="str">
        <x:v>Passed</x:v>
      </x:c>
      <x:c r="F13" s="85" t="str">
        <x:v>backend/.qa-runs/current-structure-verification-1790070352149.json</x:v>
      </x:c>
      <x:c r="G13" s="85" t="str">
        <x:v>CURRENT_SCHEMA_UNCHANGED; baseline and final SHA-256 both d26cbfed33058fcf51dba67a498ef4899ed9b060d2b4b9aecce10304d9112e71.</x:v>
      </x:c>
    </x:row>
    <x:row r="14">
      <x:c r="A14" s="85" t="str">
        <x:v>MIG-009</x:v>
      </x:c>
      <x:c r="B14" s="85" t="str">
        <x:v>Promotion dry-run</x:v>
      </x:c>
      <x:c r="C14" s="85" t="str">
        <x:v>Current tenant configuration/backfills</x:v>
      </x:c>
      <x:c r="D14" s="85" t="str">
        <x:v>Read-only readiness + backfill dry-run</x:v>
      </x:c>
      <x:c r="E14" s="85" t="str">
        <x:v>Not Run</x:v>
      </x:c>
      <x:c r="F14" s="85" t="str"/>
      <x:c r="G14" s="85" t="str">
        <x:v>No QA data copied.</x:v>
      </x:c>
    </x:row>
    <x:row r="15">
      <x:c r="A15" s="85" t="str">
        <x:v>MIG-010</x:v>
      </x:c>
      <x:c r="B15" s="85" t="str">
        <x:v>Rollback</x:v>
      </x:c>
      <x:c r="C15" s="85" t="str">
        <x:v>RDS restore point and rollback procedure</x:v>
      </x:c>
      <x:c r="D15" s="85" t="str">
        <x:v>Recorded restore ID and rehearsal</x:v>
      </x:c>
      <x:c r="E15" s="85" t="str">
        <x:v>Not Run</x:v>
      </x:c>
      <x:c r="F15" s="85" t="str"/>
      <x:c r="G15" s="85" t="str">
        <x:v>Release gate.</x:v>
      </x:c>
    </x:row>
    <x:row r="16">
      <x:c r="A16" s="85" t="str">
        <x:v>MIG-011</x:v>
      </x:c>
      <x:c r="B16" s="85" t="str">
        <x:v>Company legal country</x:v>
      </x:c>
      <x:c r="C16" s="85" t="str">
        <x:v>20260917100000_company_legal_country_code</x:v>
      </x:c>
      <x:c r="D16" s="85" t="str">
        <x:v>Schema-neutral nullable column plus create-time validation and readiness enforcement</x:v>
      </x:c>
      <x:c r="E16" s="85" t="str">
        <x:v>Applied to staging; Prisma validation passed</x:v>
      </x:c>
      <x:c r="F16" s="85" t="str">
        <x:v>backend/prisma/migrations/20260917100000_company_legal_country_code/migration.sql</x:v>
      </x:c>
      <x:c r="G16" s="85" t="str">
        <x:v>Existing current-schema Companies still require an explicit reviewed backfill before promotion.</x:v>
      </x:c>
    </x:row>
    <x:row r="17">
      <x:c r="A17" s="85" t="str">
        <x:v>MIG-012</x:v>
      </x:c>
      <x:c r="B17" s="85" t="str">
        <x:v>Migration lineage</x:v>
      </x:c>
      <x:c r="C17" s="85" t="str">
        <x:v>All 161 repository migrations</x:v>
      </x:c>
      <x:c r="D17" s="85" t="str">
        <x:v>Exact name plus raw/LF/CRLF checksum comparison</x:v>
      </x:c>
      <x:c r="E17" s="85" t="str">
        <x:v>Passed</x:v>
      </x:c>
      <x:c r="F17" s="85" t="str">
        <x:v>backend/.qa-runs/staging-audit-1790070324845.json</x:v>
      </x:c>
      <x:c r="G17" s="85" t="str">
        <x:v>111 exact, 48 LF-equivalent and two CRLF-equivalent; zero semantic checksum mismatches.</x:v>
      </x:c>
    </x:row>
    <x:row r="18">
      <x:c r="A18" s="85" t="str">
        <x:v>MIG-013</x:v>
      </x:c>
      <x:c r="B18" s="85" t="str">
        <x:v>Final staging structure</x:v>
      </x:c>
      <x:c r="C18" s="85" t="str">
        <x:v>Post-migration dsp_pms_stg schema</x:v>
      </x:c>
      <x:c r="D18" s="85" t="str">
        <x:v>Read-only canonical structure capture</x:v>
      </x:c>
      <x:c r="E18" s="85" t="str">
        <x:v>Passed</x:v>
      </x:c>
      <x:c r="F18" s="85" t="str">
        <x:v>backend/.qa-runs/staging-baseline/structure-staging-final-2026-09-18T10-20-02-545Z.json</x:v>
      </x:c>
      <x:c r="G18" s="85" t="str">
        <x:v>SHA-256 7f997328822a67cbae099700e10251a33c45a70db1042d14d420f1610b5f12ef; catalog fingerprint 91fd7193fdb19f05b5752e1b145e0ba7695e4b35b3eceb1c18b1dbdd49f42722; includes legal country and sentinel.</x:v>
      </x:c>
    </x:row>
    <x:row r="19">
      <x:c r="A19" s="85" t="str">
        <x:v>MIG-014</x:v>
      </x:c>
      <x:c r="B19" s="85" t="str">
        <x:v>Stable personas</x:v>
      </x:c>
      <x:c r="C19" s="85" t="str">
        <x:v>23 profiles / 22 Users / 22 Employees in dsp_pms_stg</x:v>
      </x:c>
      <x:c r="D19" s="85" t="str">
        <x:v>Guarded apply plus immediate idempotent rerun</x:v>
      </x:c>
      <x:c r="E19" s="85" t="str">
        <x:v>Passed</x:v>
      </x:c>
      <x:c r="F19" s="85" t="str">
        <x:v>backend/.qa-runs/reference-seed-1789728103852.json; backend/.qa-runs/reference-seed-1789728130663.json</x:v>
      </x:c>
      <x:c r="G19" s="85" t="str">
        <x:v>Post-migration apply synchronized 21 User records; rerun created 0, updated 0, unchanged 126 with zero drift.</x:v>
      </x:c>
    </x:row>
    <x:row r="20">
      <x:c r="A20" s="85" t="str">
        <x:v>MIG-015</x:v>
      </x:c>
      <x:c r="B20" s="85" t="str">
        <x:v>Auth-session safety</x:v>
      </x:c>
      <x:c r="C20" s="85" t="str">
        <x:v>Exact contracted QA users and active session IDs</x:v>
      </x:c>
      <x:c r="D20" s="85" t="str">
        <x:v>Explicit credential rotation plus exact session cleanup</x:v>
      </x:c>
      <x:c r="E20" s="85" t="str">
        <x:v>Implemented and verified</x:v>
      </x:c>
      <x:c r="F20" s="85" t="str">
        <x:v>backend/scripts/qa/reference-persona-seeder.ts; backend/scripts/qa/cleanup-reference-auth-sessions.ts; scripts/qa/run-authenticated-smoke.ps1</x:v>
      </x:c>
      <x:c r="G20" s="85" t="str">
        <x:v>Rotation refuses active sessions and requires an explicit flag. Cleanup never deletes by broad prefix and runner evidence never records the shared secret.</x:v>
      </x:c>
    </x:row>
    <x:row r="21">
      <x:c r="A21" s="86" t="str">
        <x:v>MIG-016</x:v>
      </x:c>
      <x:c r="B21" s="86" t="str">
        <x:v>Current migration readiness</x:v>
      </x:c>
      <x:c r="C21" s="86" t="str">
        <x:v>dsp_pms current schema</x:v>
      </x:c>
      <x:c r="D21" s="86" t="str">
        <x:v>Read-only migration-lineage comparison</x:v>
      </x:c>
      <x:c r="E21" s="86" t="str">
        <x:v>Promotion pending</x:v>
      </x:c>
      <x:c r="F21" s="86" t="str">
        <x:v>backend/.qa-runs/staging-audit-1790070324845.json</x:v>
      </x:c>
      <x:c r="G21" s="86" t="str">
        <x:v>Current remains intentionally untouched. Its read-only ledger has 156 repository-matching entries of 161, with five tested migrations absent and zero unexpected, duplicate or checksum-mismatched entries; promotion requires the exact tested commit and reviewed backfills.</x:v>
      </x:c>
    </x:row>
  </x:sheetData>
  <x:pageMargins left="0.7" right="0.7" top="0.75" bottom="0.75" header="0.3" footer="0.3"/>
  <x:tableParts count="1">
    <x:tablePart xmlns:r="http://schemas.openxmlformats.org/officeDocument/2006/relationships" r:id="R9b24d2be10ce4e2a"/>
  </x:tableParts>
</x:worksheet>
</file>